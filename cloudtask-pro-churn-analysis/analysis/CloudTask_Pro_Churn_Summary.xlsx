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bscriptions" sheetId="2" state="visible" r:id="rId2"/>
    <sheet name="Monthly Revenue" sheetId="3" state="visible" r:id="rId3"/>
    <sheet name="Churn Summary" sheetId="4" state="visible" r:id="rId4"/>
    <sheet name="Churn Reasons" sheetId="5" state="visible" r:id="rId5"/>
    <sheet name="Unit Economics" sheetId="6" state="visible" r:id="rId6"/>
    <sheet name="At-Risk Custom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0.0%"/>
    <numFmt numFmtId="166" formatCode="$#,##0"/>
    <numFmt numFmtId="167" formatCode="$#,##0.00"/>
    <numFmt numFmtId="168" formatCode="0.0"/>
    <numFmt numFmtId="169" formatCode="0.0&quot;x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164" fontId="4" fillId="3" borderId="0" pivotButton="0" quotePrefix="0" xfId="0"/>
    <xf numFmtId="0" fontId="4" fillId="3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9" fontId="4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CloudTask Pro — Churn &amp; Unit Economics Analysis</t>
        </is>
      </c>
    </row>
    <row r="2" ht="30" customHeight="1">
      <c r="A2" s="2" t="inlineStr">
        <is>
          <t>Excel companion workbook. The primary analysis lives in SQL (sql/) and the Power BI model design (powerbi/) — this workbook mirrors the same numbers for quick review, sanity-checking, and offline sharing.</t>
        </is>
      </c>
    </row>
    <row r="4">
      <c r="A4" s="3" t="inlineStr">
        <is>
          <t>Tabs</t>
        </is>
      </c>
    </row>
    <row r="5">
      <c r="A5" s="4" t="inlineStr">
        <is>
          <t>Subscriptions — Raw customer-level data, plus calculated helper columns (Is Churned, Is Active, Lifespan Months, Is At Risk) used by every formula in this workbook.</t>
        </is>
      </c>
    </row>
    <row r="6">
      <c r="A6" s="4" t="inlineStr">
        <is>
          <t>Monthly Revenue — Raw monthly company summary, as delivered.</t>
        </is>
      </c>
    </row>
    <row r="7">
      <c r="A7" s="4" t="inlineStr">
        <is>
          <t>Churn Summary — Churn rate by plan, billing cycle, acquisition channel, and company size — all live formulas (COUNTIFS/SUMIFS) against the Subscriptions tab.</t>
        </is>
      </c>
    </row>
    <row r="8">
      <c r="A8" s="4" t="inlineStr">
        <is>
          <t>Churn Reasons — Top churn reasons overall and by plan.</t>
        </is>
      </c>
    </row>
    <row r="9">
      <c r="A9" s="4" t="inlineStr">
        <is>
          <t>Unit Economics — Average CLV by plan vs. blended CAC, and the resulting CLV:CAC ratio.</t>
        </is>
      </c>
    </row>
    <row r="10">
      <c r="A10" s="4" t="inlineStr">
        <is>
          <t>At-Risk Customers — Feature usage / NPS vs. churn relationship, the at-risk threshold definition, and the current at-risk customer list.</t>
        </is>
      </c>
    </row>
    <row r="11">
      <c r="A11" s="3" t="inlineStr"/>
    </row>
    <row r="12">
      <c r="A12" s="3" t="inlineStr">
        <is>
          <t>Conventions</t>
        </is>
      </c>
    </row>
    <row r="13">
      <c r="A13" s="4" t="inlineStr">
        <is>
          <t>Blue text on yellow fill — an assumption or input cell — the snapshot date and the at-risk threshold values.</t>
        </is>
      </c>
    </row>
    <row r="14">
      <c r="A14" s="4" t="inlineStr">
        <is>
          <t>Black text — a live formula, not a typed-in result — every summary number recalculates if the raw data changes.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  <col width="15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5" t="inlineStr">
        <is>
          <t>customer_id</t>
        </is>
      </c>
      <c r="B1" s="5" t="inlineStr">
        <is>
          <t>plan</t>
        </is>
      </c>
      <c r="C1" s="5" t="inlineStr">
        <is>
          <t>billing_cycle</t>
        </is>
      </c>
      <c r="D1" s="5" t="inlineStr">
        <is>
          <t>industry</t>
        </is>
      </c>
      <c r="E1" s="5" t="inlineStr">
        <is>
          <t>company_size</t>
        </is>
      </c>
      <c r="F1" s="5" t="inlineStr">
        <is>
          <t>seats</t>
        </is>
      </c>
      <c r="G1" s="5" t="inlineStr">
        <is>
          <t>monthly_revenue</t>
        </is>
      </c>
      <c r="H1" s="5" t="inlineStr">
        <is>
          <t>acquisition_channel</t>
        </is>
      </c>
      <c r="I1" s="5" t="inlineStr">
        <is>
          <t>region</t>
        </is>
      </c>
      <c r="J1" s="5" t="inlineStr">
        <is>
          <t>signup_date</t>
        </is>
      </c>
      <c r="K1" s="5" t="inlineStr">
        <is>
          <t>churned</t>
        </is>
      </c>
      <c r="L1" s="5" t="inlineStr">
        <is>
          <t>churn_date</t>
        </is>
      </c>
      <c r="M1" s="5" t="inlineStr">
        <is>
          <t>churn_reason</t>
        </is>
      </c>
      <c r="N1" s="5" t="inlineStr">
        <is>
          <t>support_tickets_12mo</t>
        </is>
      </c>
      <c r="O1" s="5" t="inlineStr">
        <is>
          <t>nps_score</t>
        </is>
      </c>
      <c r="P1" s="5" t="inlineStr">
        <is>
          <t>feature_usage_pct</t>
        </is>
      </c>
      <c r="Q1" s="5" t="inlineStr">
        <is>
          <t>upgraded</t>
        </is>
      </c>
      <c r="R1" s="5" t="inlineStr">
        <is>
          <t>Is Churned</t>
        </is>
      </c>
      <c r="S1" s="5" t="inlineStr">
        <is>
          <t>Is Active</t>
        </is>
      </c>
      <c r="T1" s="5" t="inlineStr">
        <is>
          <t>Lifespan Months</t>
        </is>
      </c>
      <c r="U1" s="5" t="inlineStr">
        <is>
          <t>Is At Risk</t>
        </is>
      </c>
    </row>
    <row r="2">
      <c r="A2" s="6" t="inlineStr">
        <is>
          <t>CUST-0001</t>
        </is>
      </c>
      <c r="B2" s="6" t="inlineStr">
        <is>
          <t>Professional</t>
        </is>
      </c>
      <c r="C2" s="6" t="inlineStr">
        <is>
          <t>Monthly</t>
        </is>
      </c>
      <c r="D2" s="6" t="inlineStr">
        <is>
          <t>Retail</t>
        </is>
      </c>
      <c r="E2" s="6" t="inlineStr">
        <is>
          <t>51-200</t>
        </is>
      </c>
      <c r="F2" s="6" t="n">
        <v>64</v>
      </c>
      <c r="G2" s="6" t="n">
        <v>825.55</v>
      </c>
      <c r="H2" s="6" t="inlineStr">
        <is>
          <t>Organic Search</t>
        </is>
      </c>
      <c r="I2" s="6" t="inlineStr">
        <is>
          <t>North America</t>
        </is>
      </c>
      <c r="J2" s="7" t="n">
        <v>44739</v>
      </c>
      <c r="K2" s="6" t="inlineStr">
        <is>
          <t>Yes</t>
        </is>
      </c>
      <c r="L2" s="7" t="n">
        <v>45356</v>
      </c>
      <c r="M2" s="6" t="inlineStr">
        <is>
          <t>Price Too High</t>
        </is>
      </c>
      <c r="N2" s="6" t="n">
        <v>13</v>
      </c>
      <c r="O2" s="6" t="n">
        <v>3</v>
      </c>
      <c r="P2" s="6" t="n">
        <v>15</v>
      </c>
      <c r="Q2" s="6" t="inlineStr">
        <is>
          <t>No</t>
        </is>
      </c>
      <c r="R2" s="6">
        <f>IF(K2="Yes",1,0)</f>
        <v/>
      </c>
      <c r="S2" s="6">
        <f>IF(K2="No",1,0)</f>
        <v/>
      </c>
      <c r="T2" s="8">
        <f>ROUND((IF(L2="",'Subscriptions'!$T$2,L2)-J2)/30.44,1)</f>
        <v/>
      </c>
      <c r="U2" s="6">
        <f>IF(AND(P2&lt;'Subscriptions'!$T$4,O2&lt;='Subscriptions'!$T$5),1,0)</f>
        <v/>
      </c>
    </row>
    <row r="3">
      <c r="A3" s="6" t="inlineStr">
        <is>
          <t>CUST-0002</t>
        </is>
      </c>
      <c r="B3" s="6" t="inlineStr">
        <is>
          <t>Professional</t>
        </is>
      </c>
      <c r="C3" s="6" t="inlineStr">
        <is>
          <t>Annual</t>
        </is>
      </c>
      <c r="D3" s="6" t="inlineStr">
        <is>
          <t>Retail</t>
        </is>
      </c>
      <c r="E3" s="6" t="inlineStr">
        <is>
          <t>51-200</t>
        </is>
      </c>
      <c r="F3" s="6" t="n">
        <v>35</v>
      </c>
      <c r="G3" s="6" t="n">
        <v>409.62</v>
      </c>
      <c r="H3" s="6" t="inlineStr">
        <is>
          <t>Direct Sales</t>
        </is>
      </c>
      <c r="I3" s="6" t="inlineStr">
        <is>
          <t>North America</t>
        </is>
      </c>
      <c r="J3" s="7" t="n">
        <v>45004</v>
      </c>
      <c r="K3" s="6" t="inlineStr">
        <is>
          <t>No</t>
        </is>
      </c>
      <c r="L3" s="7" t="n"/>
      <c r="M3" s="6" t="n"/>
      <c r="N3" s="6" t="n">
        <v>1</v>
      </c>
      <c r="O3" s="6" t="n">
        <v>3</v>
      </c>
      <c r="P3" s="6" t="n">
        <v>52</v>
      </c>
      <c r="Q3" s="6" t="inlineStr">
        <is>
          <t>Yes</t>
        </is>
      </c>
      <c r="R3" s="6">
        <f>IF(K3="Yes",1,0)</f>
        <v/>
      </c>
      <c r="S3" s="6">
        <f>IF(K3="No",1,0)</f>
        <v/>
      </c>
      <c r="T3" s="6">
        <f>ROUND((IF(L3="",'Subscriptions'!$T$2,L3)-J3)/30.44,1)</f>
        <v/>
      </c>
      <c r="U3" s="6">
        <f>IF(AND(P3&lt;'Subscriptions'!$T$4,O3&lt;='Subscriptions'!$T$5),1,0)</f>
        <v/>
      </c>
    </row>
    <row r="4">
      <c r="A4" s="6" t="inlineStr">
        <is>
          <t>CUST-0003</t>
        </is>
      </c>
      <c r="B4" s="6" t="inlineStr">
        <is>
          <t>Starter</t>
        </is>
      </c>
      <c r="C4" s="6" t="inlineStr">
        <is>
          <t>Annual</t>
        </is>
      </c>
      <c r="D4" s="6" t="inlineStr">
        <is>
          <t>Finance</t>
        </is>
      </c>
      <c r="E4" s="6" t="inlineStr">
        <is>
          <t>500+</t>
        </is>
      </c>
      <c r="F4" s="6" t="n">
        <v>266</v>
      </c>
      <c r="G4" s="6" t="n">
        <v>1004.49</v>
      </c>
      <c r="H4" s="6" t="inlineStr">
        <is>
          <t>Partner</t>
        </is>
      </c>
      <c r="I4" s="6" t="inlineStr">
        <is>
          <t>North America</t>
        </is>
      </c>
      <c r="J4" s="7" t="n">
        <v>45584</v>
      </c>
      <c r="K4" s="6" t="inlineStr">
        <is>
          <t>Yes</t>
        </is>
      </c>
      <c r="L4" s="7" t="n">
        <v>45760</v>
      </c>
      <c r="M4" s="6" t="inlineStr">
        <is>
          <t>Price Too High</t>
        </is>
      </c>
      <c r="N4" s="6" t="n">
        <v>10</v>
      </c>
      <c r="O4" s="6" t="n">
        <v>4</v>
      </c>
      <c r="P4" s="6" t="n">
        <v>31</v>
      </c>
      <c r="Q4" s="6" t="inlineStr">
        <is>
          <t>No</t>
        </is>
      </c>
      <c r="R4" s="6">
        <f>IF(K4="Yes",1,0)</f>
        <v/>
      </c>
      <c r="S4" s="6">
        <f>IF(K4="No",1,0)</f>
        <v/>
      </c>
      <c r="T4" s="9">
        <f>ROUND((IF(L4="",'Subscriptions'!$T$2,L4)-J4)/30.44,1)</f>
        <v/>
      </c>
      <c r="U4" s="6">
        <f>IF(AND(P4&lt;'Subscriptions'!$T$4,O4&lt;='Subscriptions'!$T$5),1,0)</f>
        <v/>
      </c>
    </row>
    <row r="5">
      <c r="A5" s="6" t="inlineStr">
        <is>
          <t>CUST-0004</t>
        </is>
      </c>
      <c r="B5" s="6" t="inlineStr">
        <is>
          <t>Business</t>
        </is>
      </c>
      <c r="C5" s="6" t="inlineStr">
        <is>
          <t>Annual</t>
        </is>
      </c>
      <c r="D5" s="6" t="inlineStr">
        <is>
          <t>Real Estate</t>
        </is>
      </c>
      <c r="E5" s="6" t="inlineStr">
        <is>
          <t>11-50</t>
        </is>
      </c>
      <c r="F5" s="6" t="n">
        <v>34</v>
      </c>
      <c r="G5" s="6" t="n">
        <v>1006.44</v>
      </c>
      <c r="H5" s="6" t="inlineStr">
        <is>
          <t>Partner</t>
        </is>
      </c>
      <c r="I5" s="6" t="inlineStr">
        <is>
          <t>Europe</t>
        </is>
      </c>
      <c r="J5" s="7" t="n">
        <v>44933</v>
      </c>
      <c r="K5" s="6" t="inlineStr">
        <is>
          <t>No</t>
        </is>
      </c>
      <c r="L5" s="7" t="n"/>
      <c r="M5" s="6" t="n"/>
      <c r="N5" s="6" t="n">
        <v>3</v>
      </c>
      <c r="O5" s="6" t="n">
        <v>7</v>
      </c>
      <c r="P5" s="6" t="n">
        <v>58</v>
      </c>
      <c r="Q5" s="6" t="inlineStr">
        <is>
          <t>No</t>
        </is>
      </c>
      <c r="R5" s="6">
        <f>IF(K5="Yes",1,0)</f>
        <v/>
      </c>
      <c r="S5" s="6">
        <f>IF(K5="No",1,0)</f>
        <v/>
      </c>
      <c r="T5" s="9">
        <f>ROUND((IF(L5="",'Subscriptions'!$T$2,L5)-J5)/30.44,1)</f>
        <v/>
      </c>
      <c r="U5" s="6">
        <f>IF(AND(P5&lt;'Subscriptions'!$T$4,O5&lt;='Subscriptions'!$T$5),1,0)</f>
        <v/>
      </c>
    </row>
    <row r="6">
      <c r="A6" s="6" t="inlineStr">
        <is>
          <t>CUST-0005</t>
        </is>
      </c>
      <c r="B6" s="6" t="inlineStr">
        <is>
          <t>Starter</t>
        </is>
      </c>
      <c r="C6" s="6" t="inlineStr">
        <is>
          <t>Annual</t>
        </is>
      </c>
      <c r="D6" s="6" t="inlineStr">
        <is>
          <t>Manufacturing</t>
        </is>
      </c>
      <c r="E6" s="6" t="inlineStr">
        <is>
          <t>51-200</t>
        </is>
      </c>
      <c r="F6" s="6" t="n">
        <v>48</v>
      </c>
      <c r="G6" s="6" t="n">
        <v>198.43</v>
      </c>
      <c r="H6" s="6" t="inlineStr">
        <is>
          <t>Direct Sales</t>
        </is>
      </c>
      <c r="I6" s="6" t="inlineStr">
        <is>
          <t>North America</t>
        </is>
      </c>
      <c r="J6" s="7" t="n">
        <v>45923</v>
      </c>
      <c r="K6" s="6" t="inlineStr">
        <is>
          <t>No</t>
        </is>
      </c>
      <c r="L6" s="7" t="n"/>
      <c r="M6" s="6" t="n"/>
      <c r="N6" s="6" t="n">
        <v>3</v>
      </c>
      <c r="O6" s="6" t="n">
        <v>7</v>
      </c>
      <c r="P6" s="6" t="n">
        <v>59</v>
      </c>
      <c r="Q6" s="6" t="inlineStr">
        <is>
          <t>No</t>
        </is>
      </c>
      <c r="R6" s="6">
        <f>IF(K6="Yes",1,0)</f>
        <v/>
      </c>
      <c r="S6" s="6">
        <f>IF(K6="No",1,0)</f>
        <v/>
      </c>
      <c r="T6" s="6">
        <f>ROUND((IF(L6="",'Subscriptions'!$T$2,L6)-J6)/30.44,1)</f>
        <v/>
      </c>
      <c r="U6" s="6">
        <f>IF(AND(P6&lt;'Subscriptions'!$T$4,O6&lt;='Subscriptions'!$T$5),1,0)</f>
        <v/>
      </c>
    </row>
    <row r="7">
      <c r="A7" s="6" t="inlineStr">
        <is>
          <t>CUST-0006</t>
        </is>
      </c>
      <c r="B7" s="6" t="inlineStr">
        <is>
          <t>Business</t>
        </is>
      </c>
      <c r="C7" s="6" t="inlineStr">
        <is>
          <t>Annual</t>
        </is>
      </c>
      <c r="D7" s="6" t="inlineStr">
        <is>
          <t>Technology</t>
        </is>
      </c>
      <c r="E7" s="6" t="inlineStr">
        <is>
          <t>1-10</t>
        </is>
      </c>
      <c r="F7" s="6" t="n">
        <v>3</v>
      </c>
      <c r="G7" s="6" t="n">
        <v>219.9</v>
      </c>
      <c r="H7" s="6" t="inlineStr">
        <is>
          <t>Referral</t>
        </is>
      </c>
      <c r="I7" s="6" t="inlineStr">
        <is>
          <t>North America</t>
        </is>
      </c>
      <c r="J7" s="7" t="n">
        <v>45197</v>
      </c>
      <c r="K7" s="6" t="inlineStr">
        <is>
          <t>No</t>
        </is>
      </c>
      <c r="L7" s="7" t="n"/>
      <c r="M7" s="6" t="n"/>
      <c r="N7" s="6" t="n">
        <v>12</v>
      </c>
      <c r="O7" s="6" t="n">
        <v>3</v>
      </c>
      <c r="P7" s="6" t="n">
        <v>48</v>
      </c>
      <c r="Q7" s="6" t="inlineStr">
        <is>
          <t>No</t>
        </is>
      </c>
      <c r="R7" s="6">
        <f>IF(K7="Yes",1,0)</f>
        <v/>
      </c>
      <c r="S7" s="6">
        <f>IF(K7="No",1,0)</f>
        <v/>
      </c>
      <c r="T7" s="6">
        <f>ROUND((IF(L7="",'Subscriptions'!$T$2,L7)-J7)/30.44,1)</f>
        <v/>
      </c>
      <c r="U7" s="6">
        <f>IF(AND(P7&lt;'Subscriptions'!$T$4,O7&lt;='Subscriptions'!$T$5),1,0)</f>
        <v/>
      </c>
    </row>
    <row r="8">
      <c r="A8" s="6" t="inlineStr">
        <is>
          <t>CUST-0007</t>
        </is>
      </c>
      <c r="B8" s="6" t="inlineStr">
        <is>
          <t>Starter</t>
        </is>
      </c>
      <c r="C8" s="6" t="inlineStr">
        <is>
          <t>Monthly</t>
        </is>
      </c>
      <c r="D8" s="6" t="inlineStr">
        <is>
          <t>Finance</t>
        </is>
      </c>
      <c r="E8" s="6" t="inlineStr">
        <is>
          <t>201-500</t>
        </is>
      </c>
      <c r="F8" s="6" t="n">
        <v>121</v>
      </c>
      <c r="G8" s="6" t="n">
        <v>551</v>
      </c>
      <c r="H8" s="6" t="inlineStr">
        <is>
          <t>Partner</t>
        </is>
      </c>
      <c r="I8" s="6" t="inlineStr">
        <is>
          <t>Europe</t>
        </is>
      </c>
      <c r="J8" s="7" t="n">
        <v>45358</v>
      </c>
      <c r="K8" s="6" t="inlineStr">
        <is>
          <t>Yes</t>
        </is>
      </c>
      <c r="L8" s="7" t="n">
        <v>45755</v>
      </c>
      <c r="M8" s="6" t="inlineStr">
        <is>
          <t>Poor Support</t>
        </is>
      </c>
      <c r="N8" s="6" t="n">
        <v>0</v>
      </c>
      <c r="O8" s="6" t="n">
        <v>2</v>
      </c>
      <c r="P8" s="6" t="n">
        <v>14</v>
      </c>
      <c r="Q8" s="6" t="inlineStr">
        <is>
          <t>No</t>
        </is>
      </c>
      <c r="R8" s="6">
        <f>IF(K8="Yes",1,0)</f>
        <v/>
      </c>
      <c r="S8" s="6">
        <f>IF(K8="No",1,0)</f>
        <v/>
      </c>
      <c r="T8" s="6">
        <f>ROUND((IF(L8="",'Subscriptions'!$T$2,L8)-J8)/30.44,1)</f>
        <v/>
      </c>
      <c r="U8" s="6">
        <f>IF(AND(P8&lt;'Subscriptions'!$T$4,O8&lt;='Subscriptions'!$T$5),1,0)</f>
        <v/>
      </c>
    </row>
    <row r="9">
      <c r="A9" s="6" t="inlineStr">
        <is>
          <t>CUST-0008</t>
        </is>
      </c>
      <c r="B9" s="6" t="inlineStr">
        <is>
          <t>Starter</t>
        </is>
      </c>
      <c r="C9" s="6" t="inlineStr">
        <is>
          <t>Monthly</t>
        </is>
      </c>
      <c r="D9" s="6" t="inlineStr">
        <is>
          <t>Technology</t>
        </is>
      </c>
      <c r="E9" s="6" t="inlineStr">
        <is>
          <t>51-200</t>
        </is>
      </c>
      <c r="F9" s="6" t="n">
        <v>48</v>
      </c>
      <c r="G9" s="6" t="n">
        <v>233.45</v>
      </c>
      <c r="H9" s="6" t="inlineStr">
        <is>
          <t>Referral</t>
        </is>
      </c>
      <c r="I9" s="6" t="inlineStr">
        <is>
          <t>Europe</t>
        </is>
      </c>
      <c r="J9" s="7" t="n">
        <v>45755</v>
      </c>
      <c r="K9" s="6" t="inlineStr">
        <is>
          <t>Yes</t>
        </is>
      </c>
      <c r="L9" s="7" t="n">
        <v>45816</v>
      </c>
      <c r="M9" s="6" t="inlineStr">
        <is>
          <t>Price Too High</t>
        </is>
      </c>
      <c r="N9" s="6" t="n">
        <v>10</v>
      </c>
      <c r="O9" s="6" t="n">
        <v>2</v>
      </c>
      <c r="P9" s="6" t="n">
        <v>28</v>
      </c>
      <c r="Q9" s="6" t="inlineStr">
        <is>
          <t>No</t>
        </is>
      </c>
      <c r="R9" s="6">
        <f>IF(K9="Yes",1,0)</f>
        <v/>
      </c>
      <c r="S9" s="6">
        <f>IF(K9="No",1,0)</f>
        <v/>
      </c>
      <c r="T9" s="6">
        <f>ROUND((IF(L9="",'Subscriptions'!$T$2,L9)-J9)/30.44,1)</f>
        <v/>
      </c>
      <c r="U9" s="6">
        <f>IF(AND(P9&lt;'Subscriptions'!$T$4,O9&lt;='Subscriptions'!$T$5),1,0)</f>
        <v/>
      </c>
    </row>
    <row r="10">
      <c r="A10" s="6" t="inlineStr">
        <is>
          <t>CUST-0009</t>
        </is>
      </c>
      <c r="B10" s="6" t="inlineStr">
        <is>
          <t>Starter</t>
        </is>
      </c>
      <c r="C10" s="6" t="inlineStr">
        <is>
          <t>Monthly</t>
        </is>
      </c>
      <c r="D10" s="6" t="inlineStr">
        <is>
          <t>Media</t>
        </is>
      </c>
      <c r="E10" s="6" t="inlineStr">
        <is>
          <t>1-10</t>
        </is>
      </c>
      <c r="F10" s="6" t="n">
        <v>3</v>
      </c>
      <c r="G10" s="6" t="n">
        <v>37.7</v>
      </c>
      <c r="H10" s="6" t="inlineStr">
        <is>
          <t>Partner</t>
        </is>
      </c>
      <c r="I10" s="6" t="inlineStr">
        <is>
          <t>North America</t>
        </is>
      </c>
      <c r="J10" s="7" t="n">
        <v>44948</v>
      </c>
      <c r="K10" s="6" t="inlineStr">
        <is>
          <t>Yes</t>
        </is>
      </c>
      <c r="L10" s="7" t="n">
        <v>45037</v>
      </c>
      <c r="M10" s="6" t="inlineStr">
        <is>
          <t>Switched Competitor</t>
        </is>
      </c>
      <c r="N10" s="6" t="n">
        <v>5</v>
      </c>
      <c r="O10" s="6" t="n">
        <v>6</v>
      </c>
      <c r="P10" s="6" t="n">
        <v>15</v>
      </c>
      <c r="Q10" s="6" t="inlineStr">
        <is>
          <t>No</t>
        </is>
      </c>
      <c r="R10" s="6">
        <f>IF(K10="Yes",1,0)</f>
        <v/>
      </c>
      <c r="S10" s="6">
        <f>IF(K10="No",1,0)</f>
        <v/>
      </c>
      <c r="T10" s="6">
        <f>ROUND((IF(L10="",'Subscriptions'!$T$2,L10)-J10)/30.44,1)</f>
        <v/>
      </c>
      <c r="U10" s="6">
        <f>IF(AND(P10&lt;'Subscriptions'!$T$4,O10&lt;='Subscriptions'!$T$5),1,0)</f>
        <v/>
      </c>
    </row>
    <row r="11">
      <c r="A11" s="6" t="inlineStr">
        <is>
          <t>CUST-0010</t>
        </is>
      </c>
      <c r="B11" s="6" t="inlineStr">
        <is>
          <t>Business</t>
        </is>
      </c>
      <c r="C11" s="6" t="inlineStr">
        <is>
          <t>Monthly</t>
        </is>
      </c>
      <c r="D11" s="6" t="inlineStr">
        <is>
          <t>Healthcare</t>
        </is>
      </c>
      <c r="E11" s="6" t="inlineStr">
        <is>
          <t>51-200</t>
        </is>
      </c>
      <c r="F11" s="6" t="n">
        <v>80</v>
      </c>
      <c r="G11" s="6" t="n">
        <v>2557.15</v>
      </c>
      <c r="H11" s="6" t="inlineStr">
        <is>
          <t>Partner</t>
        </is>
      </c>
      <c r="I11" s="6" t="inlineStr">
        <is>
          <t>North America</t>
        </is>
      </c>
      <c r="J11" s="7" t="n">
        <v>44739</v>
      </c>
      <c r="K11" s="6" t="inlineStr">
        <is>
          <t>Yes</t>
        </is>
      </c>
      <c r="L11" s="7" t="n">
        <v>45261</v>
      </c>
      <c r="M11" s="6" t="inlineStr">
        <is>
          <t>Budget Cuts</t>
        </is>
      </c>
      <c r="N11" s="6" t="n">
        <v>3</v>
      </c>
      <c r="O11" s="6" t="n">
        <v>4</v>
      </c>
      <c r="P11" s="6" t="n">
        <v>48</v>
      </c>
      <c r="Q11" s="6" t="inlineStr">
        <is>
          <t>No</t>
        </is>
      </c>
      <c r="R11" s="6">
        <f>IF(K11="Yes",1,0)</f>
        <v/>
      </c>
      <c r="S11" s="6">
        <f>IF(K11="No",1,0)</f>
        <v/>
      </c>
      <c r="T11" s="6">
        <f>ROUND((IF(L11="",'Subscriptions'!$T$2,L11)-J11)/30.44,1)</f>
        <v/>
      </c>
      <c r="U11" s="6">
        <f>IF(AND(P11&lt;'Subscriptions'!$T$4,O11&lt;='Subscriptions'!$T$5),1,0)</f>
        <v/>
      </c>
    </row>
    <row r="12">
      <c r="A12" s="6" t="inlineStr">
        <is>
          <t>CUST-0011</t>
        </is>
      </c>
      <c r="B12" s="6" t="inlineStr">
        <is>
          <t>Business</t>
        </is>
      </c>
      <c r="C12" s="6" t="inlineStr">
        <is>
          <t>Annual</t>
        </is>
      </c>
      <c r="D12" s="6" t="inlineStr">
        <is>
          <t>Healthcare</t>
        </is>
      </c>
      <c r="E12" s="6" t="inlineStr">
        <is>
          <t>201-500</t>
        </is>
      </c>
      <c r="F12" s="6" t="n">
        <v>77</v>
      </c>
      <c r="G12" s="6" t="n">
        <v>2097.46</v>
      </c>
      <c r="H12" s="6" t="inlineStr">
        <is>
          <t>Organic Search</t>
        </is>
      </c>
      <c r="I12" s="6" t="inlineStr">
        <is>
          <t>Asia Pacific</t>
        </is>
      </c>
      <c r="J12" s="7" t="n">
        <v>44902</v>
      </c>
      <c r="K12" s="6" t="inlineStr">
        <is>
          <t>Yes</t>
        </is>
      </c>
      <c r="L12" s="7" t="n">
        <v>45091</v>
      </c>
      <c r="M12" s="6" t="inlineStr">
        <is>
          <t>Company Closed</t>
        </is>
      </c>
      <c r="N12" s="6" t="n">
        <v>9</v>
      </c>
      <c r="O12" s="6" t="n">
        <v>1</v>
      </c>
      <c r="P12" s="6" t="n">
        <v>37</v>
      </c>
      <c r="Q12" s="6" t="inlineStr">
        <is>
          <t>No</t>
        </is>
      </c>
      <c r="R12" s="6">
        <f>IF(K12="Yes",1,0)</f>
        <v/>
      </c>
      <c r="S12" s="6">
        <f>IF(K12="No",1,0)</f>
        <v/>
      </c>
      <c r="T12" s="6">
        <f>ROUND((IF(L12="",'Subscriptions'!$T$2,L12)-J12)/30.44,1)</f>
        <v/>
      </c>
      <c r="U12" s="6">
        <f>IF(AND(P12&lt;'Subscriptions'!$T$4,O12&lt;='Subscriptions'!$T$5),1,0)</f>
        <v/>
      </c>
    </row>
    <row r="13">
      <c r="A13" s="6" t="inlineStr">
        <is>
          <t>CUST-0012</t>
        </is>
      </c>
      <c r="B13" s="6" t="inlineStr">
        <is>
          <t>Business</t>
        </is>
      </c>
      <c r="C13" s="6" t="inlineStr">
        <is>
          <t>Annual</t>
        </is>
      </c>
      <c r="D13" s="6" t="inlineStr">
        <is>
          <t>Technology</t>
        </is>
      </c>
      <c r="E13" s="6" t="inlineStr">
        <is>
          <t>11-50</t>
        </is>
      </c>
      <c r="F13" s="6" t="n">
        <v>30</v>
      </c>
      <c r="G13" s="6" t="n">
        <v>904.95</v>
      </c>
      <c r="H13" s="6" t="inlineStr">
        <is>
          <t>Referral</t>
        </is>
      </c>
      <c r="I13" s="6" t="inlineStr">
        <is>
          <t>North America</t>
        </is>
      </c>
      <c r="J13" s="7" t="n">
        <v>45247</v>
      </c>
      <c r="K13" s="6" t="inlineStr">
        <is>
          <t>No</t>
        </is>
      </c>
      <c r="L13" s="7" t="n"/>
      <c r="M13" s="6" t="n"/>
      <c r="N13" s="6" t="n">
        <v>4</v>
      </c>
      <c r="O13" s="6" t="n">
        <v>1</v>
      </c>
      <c r="P13" s="6" t="n">
        <v>47</v>
      </c>
      <c r="Q13" s="6" t="inlineStr">
        <is>
          <t>Yes</t>
        </is>
      </c>
      <c r="R13" s="6">
        <f>IF(K13="Yes",1,0)</f>
        <v/>
      </c>
      <c r="S13" s="6">
        <f>IF(K13="No",1,0)</f>
        <v/>
      </c>
      <c r="T13" s="6">
        <f>ROUND((IF(L13="",'Subscriptions'!$T$2,L13)-J13)/30.44,1)</f>
        <v/>
      </c>
      <c r="U13" s="6">
        <f>IF(AND(P13&lt;'Subscriptions'!$T$4,O13&lt;='Subscriptions'!$T$5),1,0)</f>
        <v/>
      </c>
    </row>
    <row r="14">
      <c r="A14" s="6" t="inlineStr">
        <is>
          <t>CUST-0013</t>
        </is>
      </c>
      <c r="B14" s="6" t="inlineStr">
        <is>
          <t>Business</t>
        </is>
      </c>
      <c r="C14" s="6" t="inlineStr">
        <is>
          <t>Monthly</t>
        </is>
      </c>
      <c r="D14" s="6" t="inlineStr">
        <is>
          <t>Finance</t>
        </is>
      </c>
      <c r="E14" s="6" t="inlineStr">
        <is>
          <t>1-10</t>
        </is>
      </c>
      <c r="F14" s="6" t="n">
        <v>4</v>
      </c>
      <c r="G14" s="6" t="n">
        <v>288.55</v>
      </c>
      <c r="H14" s="6" t="inlineStr">
        <is>
          <t>Referral</t>
        </is>
      </c>
      <c r="I14" s="6" t="inlineStr">
        <is>
          <t>Europe</t>
        </is>
      </c>
      <c r="J14" s="7" t="n">
        <v>45475</v>
      </c>
      <c r="K14" s="6" t="inlineStr">
        <is>
          <t>No</t>
        </is>
      </c>
      <c r="L14" s="7" t="n"/>
      <c r="M14" s="6" t="n"/>
      <c r="N14" s="6" t="n">
        <v>10</v>
      </c>
      <c r="O14" s="6" t="n">
        <v>9</v>
      </c>
      <c r="P14" s="6" t="n">
        <v>84</v>
      </c>
      <c r="Q14" s="6" t="inlineStr">
        <is>
          <t>Yes</t>
        </is>
      </c>
      <c r="R14" s="6">
        <f>IF(K14="Yes",1,0)</f>
        <v/>
      </c>
      <c r="S14" s="6">
        <f>IF(K14="No",1,0)</f>
        <v/>
      </c>
      <c r="T14" s="6">
        <f>ROUND((IF(L14="",'Subscriptions'!$T$2,L14)-J14)/30.44,1)</f>
        <v/>
      </c>
      <c r="U14" s="6">
        <f>IF(AND(P14&lt;'Subscriptions'!$T$4,O14&lt;='Subscriptions'!$T$5),1,0)</f>
        <v/>
      </c>
    </row>
    <row r="15">
      <c r="A15" s="6" t="inlineStr">
        <is>
          <t>CUST-0014</t>
        </is>
      </c>
      <c r="B15" s="6" t="inlineStr">
        <is>
          <t>Starter</t>
        </is>
      </c>
      <c r="C15" s="6" t="inlineStr">
        <is>
          <t>Monthly</t>
        </is>
      </c>
      <c r="D15" s="6" t="inlineStr">
        <is>
          <t>Retail</t>
        </is>
      </c>
      <c r="E15" s="6" t="inlineStr">
        <is>
          <t>51-200</t>
        </is>
      </c>
      <c r="F15" s="6" t="n">
        <v>56</v>
      </c>
      <c r="G15" s="6" t="n">
        <v>268.25</v>
      </c>
      <c r="H15" s="6" t="inlineStr">
        <is>
          <t>Paid Ads</t>
        </is>
      </c>
      <c r="I15" s="6" t="inlineStr">
        <is>
          <t>Europe</t>
        </is>
      </c>
      <c r="J15" s="7" t="n">
        <v>44710</v>
      </c>
      <c r="K15" s="6" t="inlineStr">
        <is>
          <t>Yes</t>
        </is>
      </c>
      <c r="L15" s="7" t="n">
        <v>44831</v>
      </c>
      <c r="M15" s="6" t="inlineStr">
        <is>
          <t>Poor Support</t>
        </is>
      </c>
      <c r="N15" s="6" t="n">
        <v>1</v>
      </c>
      <c r="O15" s="6" t="n">
        <v>2</v>
      </c>
      <c r="P15" s="6" t="n">
        <v>21</v>
      </c>
      <c r="Q15" s="6" t="inlineStr">
        <is>
          <t>No</t>
        </is>
      </c>
      <c r="R15" s="6">
        <f>IF(K15="Yes",1,0)</f>
        <v/>
      </c>
      <c r="S15" s="6">
        <f>IF(K15="No",1,0)</f>
        <v/>
      </c>
      <c r="T15" s="6">
        <f>ROUND((IF(L15="",'Subscriptions'!$T$2,L15)-J15)/30.44,1)</f>
        <v/>
      </c>
      <c r="U15" s="6">
        <f>IF(AND(P15&lt;'Subscriptions'!$T$4,O15&lt;='Subscriptions'!$T$5),1,0)</f>
        <v/>
      </c>
    </row>
    <row r="16">
      <c r="A16" s="6" t="inlineStr">
        <is>
          <t>CUST-0015</t>
        </is>
      </c>
      <c r="B16" s="6" t="inlineStr">
        <is>
          <t>Starter</t>
        </is>
      </c>
      <c r="C16" s="6" t="inlineStr">
        <is>
          <t>Monthly</t>
        </is>
      </c>
      <c r="D16" s="6" t="inlineStr">
        <is>
          <t>Education</t>
        </is>
      </c>
      <c r="E16" s="6" t="inlineStr">
        <is>
          <t>1-10</t>
        </is>
      </c>
      <c r="F16" s="6" t="n">
        <v>6</v>
      </c>
      <c r="G16" s="6" t="n">
        <v>50.75</v>
      </c>
      <c r="H16" s="6" t="inlineStr">
        <is>
          <t>Referral</t>
        </is>
      </c>
      <c r="I16" s="6" t="inlineStr">
        <is>
          <t>North America</t>
        </is>
      </c>
      <c r="J16" s="7" t="n">
        <v>45308</v>
      </c>
      <c r="K16" s="6" t="inlineStr">
        <is>
          <t>Yes</t>
        </is>
      </c>
      <c r="L16" s="7" t="n">
        <v>45428</v>
      </c>
      <c r="M16" s="6" t="inlineStr">
        <is>
          <t>No Longer Needed</t>
        </is>
      </c>
      <c r="N16" s="6" t="n">
        <v>7</v>
      </c>
      <c r="O16" s="6" t="n">
        <v>3</v>
      </c>
      <c r="P16" s="6" t="n">
        <v>25</v>
      </c>
      <c r="Q16" s="6" t="inlineStr">
        <is>
          <t>No</t>
        </is>
      </c>
      <c r="R16" s="6">
        <f>IF(K16="Yes",1,0)</f>
        <v/>
      </c>
      <c r="S16" s="6">
        <f>IF(K16="No",1,0)</f>
        <v/>
      </c>
      <c r="T16" s="6">
        <f>ROUND((IF(L16="",'Subscriptions'!$T$2,L16)-J16)/30.44,1)</f>
        <v/>
      </c>
      <c r="U16" s="6">
        <f>IF(AND(P16&lt;'Subscriptions'!$T$4,O16&lt;='Subscriptions'!$T$5),1,0)</f>
        <v/>
      </c>
    </row>
    <row r="17">
      <c r="A17" s="6" t="inlineStr">
        <is>
          <t>CUST-0016</t>
        </is>
      </c>
      <c r="B17" s="6" t="inlineStr">
        <is>
          <t>Starter</t>
        </is>
      </c>
      <c r="C17" s="6" t="inlineStr">
        <is>
          <t>Monthly</t>
        </is>
      </c>
      <c r="D17" s="6" t="inlineStr">
        <is>
          <t>Manufacturing</t>
        </is>
      </c>
      <c r="E17" s="6" t="inlineStr">
        <is>
          <t>201-500</t>
        </is>
      </c>
      <c r="F17" s="6" t="n">
        <v>52</v>
      </c>
      <c r="G17" s="6" t="n">
        <v>250.85</v>
      </c>
      <c r="H17" s="6" t="inlineStr">
        <is>
          <t>Organic Search</t>
        </is>
      </c>
      <c r="I17" s="6" t="inlineStr">
        <is>
          <t>North America</t>
        </is>
      </c>
      <c r="J17" s="7" t="n">
        <v>44713</v>
      </c>
      <c r="K17" s="6" t="inlineStr">
        <is>
          <t>Yes</t>
        </is>
      </c>
      <c r="L17" s="7" t="n">
        <v>44950</v>
      </c>
      <c r="M17" s="6" t="inlineStr">
        <is>
          <t>Budget Cuts</t>
        </is>
      </c>
      <c r="N17" s="6" t="n">
        <v>11</v>
      </c>
      <c r="O17" s="6" t="n">
        <v>4</v>
      </c>
      <c r="P17" s="6" t="n">
        <v>34</v>
      </c>
      <c r="Q17" s="6" t="inlineStr">
        <is>
          <t>No</t>
        </is>
      </c>
      <c r="R17" s="6">
        <f>IF(K17="Yes",1,0)</f>
        <v/>
      </c>
      <c r="S17" s="6">
        <f>IF(K17="No",1,0)</f>
        <v/>
      </c>
      <c r="T17" s="6">
        <f>ROUND((IF(L17="",'Subscriptions'!$T$2,L17)-J17)/30.44,1)</f>
        <v/>
      </c>
      <c r="U17" s="6">
        <f>IF(AND(P17&lt;'Subscriptions'!$T$4,O17&lt;='Subscriptions'!$T$5),1,0)</f>
        <v/>
      </c>
    </row>
    <row r="18">
      <c r="A18" s="6" t="inlineStr">
        <is>
          <t>CUST-0017</t>
        </is>
      </c>
      <c r="B18" s="6" t="inlineStr">
        <is>
          <t>Business</t>
        </is>
      </c>
      <c r="C18" s="6" t="inlineStr">
        <is>
          <t>Monthly</t>
        </is>
      </c>
      <c r="D18" s="6" t="inlineStr">
        <is>
          <t>Education</t>
        </is>
      </c>
      <c r="E18" s="6" t="inlineStr">
        <is>
          <t>11-50</t>
        </is>
      </c>
      <c r="F18" s="6" t="n">
        <v>34</v>
      </c>
      <c r="G18" s="6" t="n">
        <v>1184.05</v>
      </c>
      <c r="H18" s="6" t="inlineStr">
        <is>
          <t>Paid Ads</t>
        </is>
      </c>
      <c r="I18" s="6" t="inlineStr">
        <is>
          <t>North America</t>
        </is>
      </c>
      <c r="J18" s="7" t="n">
        <v>45649</v>
      </c>
      <c r="K18" s="6" t="inlineStr">
        <is>
          <t>Yes</t>
        </is>
      </c>
      <c r="L18" s="7" t="n">
        <v>45657</v>
      </c>
      <c r="M18" s="6" t="inlineStr">
        <is>
          <t>No Longer Needed</t>
        </is>
      </c>
      <c r="N18" s="6" t="n">
        <v>3</v>
      </c>
      <c r="O18" s="6" t="n">
        <v>3</v>
      </c>
      <c r="P18" s="6" t="n">
        <v>49</v>
      </c>
      <c r="Q18" s="6" t="inlineStr">
        <is>
          <t>No</t>
        </is>
      </c>
      <c r="R18" s="6">
        <f>IF(K18="Yes",1,0)</f>
        <v/>
      </c>
      <c r="S18" s="6">
        <f>IF(K18="No",1,0)</f>
        <v/>
      </c>
      <c r="T18" s="6">
        <f>ROUND((IF(L18="",'Subscriptions'!$T$2,L18)-J18)/30.44,1)</f>
        <v/>
      </c>
      <c r="U18" s="6">
        <f>IF(AND(P18&lt;'Subscriptions'!$T$4,O18&lt;='Subscriptions'!$T$5),1,0)</f>
        <v/>
      </c>
    </row>
    <row r="19">
      <c r="A19" s="6" t="inlineStr">
        <is>
          <t>CUST-0018</t>
        </is>
      </c>
      <c r="B19" s="6" t="inlineStr">
        <is>
          <t>Starter</t>
        </is>
      </c>
      <c r="C19" s="6" t="inlineStr">
        <is>
          <t>Monthly</t>
        </is>
      </c>
      <c r="D19" s="6" t="inlineStr">
        <is>
          <t>Media</t>
        </is>
      </c>
      <c r="E19" s="6" t="inlineStr">
        <is>
          <t>51-200</t>
        </is>
      </c>
      <c r="F19" s="6" t="n">
        <v>64</v>
      </c>
      <c r="G19" s="6" t="n">
        <v>303.05</v>
      </c>
      <c r="H19" s="6" t="inlineStr">
        <is>
          <t>Referral</t>
        </is>
      </c>
      <c r="I19" s="6" t="inlineStr">
        <is>
          <t>Europe</t>
        </is>
      </c>
      <c r="J19" s="7" t="n">
        <v>45098</v>
      </c>
      <c r="K19" s="6" t="inlineStr">
        <is>
          <t>Yes</t>
        </is>
      </c>
      <c r="L19" s="7" t="n">
        <v>45143</v>
      </c>
      <c r="M19" s="6" t="inlineStr">
        <is>
          <t>Company Closed</t>
        </is>
      </c>
      <c r="N19" s="6" t="n">
        <v>14</v>
      </c>
      <c r="O19" s="6" t="n">
        <v>3</v>
      </c>
      <c r="P19" s="6" t="n">
        <v>25</v>
      </c>
      <c r="Q19" s="6" t="inlineStr">
        <is>
          <t>No</t>
        </is>
      </c>
      <c r="R19" s="6">
        <f>IF(K19="Yes",1,0)</f>
        <v/>
      </c>
      <c r="S19" s="6">
        <f>IF(K19="No",1,0)</f>
        <v/>
      </c>
      <c r="T19" s="6">
        <f>ROUND((IF(L19="",'Subscriptions'!$T$2,L19)-J19)/30.44,1)</f>
        <v/>
      </c>
      <c r="U19" s="6">
        <f>IF(AND(P19&lt;'Subscriptions'!$T$4,O19&lt;='Subscriptions'!$T$5),1,0)</f>
        <v/>
      </c>
    </row>
    <row r="20">
      <c r="A20" s="6" t="inlineStr">
        <is>
          <t>CUST-0019</t>
        </is>
      </c>
      <c r="B20" s="6" t="inlineStr">
        <is>
          <t>Professional</t>
        </is>
      </c>
      <c r="C20" s="6" t="inlineStr">
        <is>
          <t>Annual</t>
        </is>
      </c>
      <c r="D20" s="6" t="inlineStr">
        <is>
          <t>Legal</t>
        </is>
      </c>
      <c r="E20" s="6" t="inlineStr">
        <is>
          <t>500+</t>
        </is>
      </c>
      <c r="F20" s="6" t="n">
        <v>67</v>
      </c>
      <c r="G20" s="6" t="n">
        <v>731.9299999999999</v>
      </c>
      <c r="H20" s="6" t="inlineStr">
        <is>
          <t>Partner</t>
        </is>
      </c>
      <c r="I20" s="6" t="inlineStr">
        <is>
          <t>Latin America</t>
        </is>
      </c>
      <c r="J20" s="7" t="n">
        <v>45377</v>
      </c>
      <c r="K20" s="6" t="inlineStr">
        <is>
          <t>Yes</t>
        </is>
      </c>
      <c r="L20" s="7" t="n">
        <v>45770</v>
      </c>
      <c r="M20" s="6" t="inlineStr">
        <is>
          <t>Company Closed</t>
        </is>
      </c>
      <c r="N20" s="6" t="n">
        <v>10</v>
      </c>
      <c r="O20" s="6" t="n">
        <v>2</v>
      </c>
      <c r="P20" s="6" t="n">
        <v>10</v>
      </c>
      <c r="Q20" s="6" t="inlineStr">
        <is>
          <t>No</t>
        </is>
      </c>
      <c r="R20" s="6">
        <f>IF(K20="Yes",1,0)</f>
        <v/>
      </c>
      <c r="S20" s="6">
        <f>IF(K20="No",1,0)</f>
        <v/>
      </c>
      <c r="T20" s="6">
        <f>ROUND((IF(L20="",'Subscriptions'!$T$2,L20)-J20)/30.44,1)</f>
        <v/>
      </c>
      <c r="U20" s="6">
        <f>IF(AND(P20&lt;'Subscriptions'!$T$4,O20&lt;='Subscriptions'!$T$5),1,0)</f>
        <v/>
      </c>
    </row>
    <row r="21">
      <c r="A21" s="6" t="inlineStr">
        <is>
          <t>CUST-0020</t>
        </is>
      </c>
      <c r="B21" s="6" t="inlineStr">
        <is>
          <t>Enterprise</t>
        </is>
      </c>
      <c r="C21" s="6" t="inlineStr">
        <is>
          <t>Annual</t>
        </is>
      </c>
      <c r="D21" s="6" t="inlineStr">
        <is>
          <t>Education</t>
        </is>
      </c>
      <c r="E21" s="6" t="inlineStr">
        <is>
          <t>1-10</t>
        </is>
      </c>
      <c r="F21" s="6" t="n">
        <v>7</v>
      </c>
      <c r="G21" s="6" t="n">
        <v>805.88</v>
      </c>
      <c r="H21" s="6" t="inlineStr">
        <is>
          <t>Organic Search</t>
        </is>
      </c>
      <c r="I21" s="6" t="inlineStr">
        <is>
          <t>Asia Pacific</t>
        </is>
      </c>
      <c r="J21" s="7" t="n">
        <v>45149</v>
      </c>
      <c r="K21" s="6" t="inlineStr">
        <is>
          <t>No</t>
        </is>
      </c>
      <c r="L21" s="7" t="n"/>
      <c r="M21" s="6" t="n"/>
      <c r="N21" s="6" t="n">
        <v>8</v>
      </c>
      <c r="O21" s="6" t="n">
        <v>4</v>
      </c>
      <c r="P21" s="6" t="n">
        <v>93</v>
      </c>
      <c r="Q21" s="6" t="inlineStr">
        <is>
          <t>No</t>
        </is>
      </c>
      <c r="R21" s="6">
        <f>IF(K21="Yes",1,0)</f>
        <v/>
      </c>
      <c r="S21" s="6">
        <f>IF(K21="No",1,0)</f>
        <v/>
      </c>
      <c r="T21" s="6">
        <f>ROUND((IF(L21="",'Subscriptions'!$T$2,L21)-J21)/30.44,1)</f>
        <v/>
      </c>
      <c r="U21" s="6">
        <f>IF(AND(P21&lt;'Subscriptions'!$T$4,O21&lt;='Subscriptions'!$T$5),1,0)</f>
        <v/>
      </c>
    </row>
    <row r="22">
      <c r="A22" s="6" t="inlineStr">
        <is>
          <t>CUST-0021</t>
        </is>
      </c>
      <c r="B22" s="6" t="inlineStr">
        <is>
          <t>Professional</t>
        </is>
      </c>
      <c r="C22" s="6" t="inlineStr">
        <is>
          <t>Annual</t>
        </is>
      </c>
      <c r="D22" s="6" t="inlineStr">
        <is>
          <t>Retail</t>
        </is>
      </c>
      <c r="E22" s="6" t="inlineStr">
        <is>
          <t>51-200</t>
        </is>
      </c>
      <c r="F22" s="6" t="n">
        <v>66</v>
      </c>
      <c r="G22" s="6" t="n">
        <v>721.86</v>
      </c>
      <c r="H22" s="6" t="inlineStr">
        <is>
          <t>Partner</t>
        </is>
      </c>
      <c r="I22" s="6" t="inlineStr">
        <is>
          <t>Europe</t>
        </is>
      </c>
      <c r="J22" s="7" t="n">
        <v>45253</v>
      </c>
      <c r="K22" s="6" t="inlineStr">
        <is>
          <t>Yes</t>
        </is>
      </c>
      <c r="L22" s="7" t="n">
        <v>45430</v>
      </c>
      <c r="M22" s="6" t="inlineStr">
        <is>
          <t>Price Too High</t>
        </is>
      </c>
      <c r="N22" s="6" t="n">
        <v>7</v>
      </c>
      <c r="O22" s="6" t="n">
        <v>2</v>
      </c>
      <c r="P22" s="6" t="n">
        <v>19</v>
      </c>
      <c r="Q22" s="6" t="inlineStr">
        <is>
          <t>No</t>
        </is>
      </c>
      <c r="R22" s="6">
        <f>IF(K22="Yes",1,0)</f>
        <v/>
      </c>
      <c r="S22" s="6">
        <f>IF(K22="No",1,0)</f>
        <v/>
      </c>
      <c r="T22" s="6">
        <f>ROUND((IF(L22="",'Subscriptions'!$T$2,L22)-J22)/30.44,1)</f>
        <v/>
      </c>
      <c r="U22" s="6">
        <f>IF(AND(P22&lt;'Subscriptions'!$T$4,O22&lt;='Subscriptions'!$T$5),1,0)</f>
        <v/>
      </c>
    </row>
    <row r="23">
      <c r="A23" s="6" t="inlineStr">
        <is>
          <t>CUST-0022</t>
        </is>
      </c>
      <c r="B23" s="6" t="inlineStr">
        <is>
          <t>Business</t>
        </is>
      </c>
      <c r="C23" s="6" t="inlineStr">
        <is>
          <t>Annual</t>
        </is>
      </c>
      <c r="D23" s="6" t="inlineStr">
        <is>
          <t>Education</t>
        </is>
      </c>
      <c r="E23" s="6" t="inlineStr">
        <is>
          <t>1-10</t>
        </is>
      </c>
      <c r="F23" s="6" t="n">
        <v>6</v>
      </c>
      <c r="G23" s="6" t="n">
        <v>296.01</v>
      </c>
      <c r="H23" s="6" t="inlineStr">
        <is>
          <t>Referral</t>
        </is>
      </c>
      <c r="I23" s="6" t="inlineStr">
        <is>
          <t>Europe</t>
        </is>
      </c>
      <c r="J23" s="7" t="n">
        <v>44744</v>
      </c>
      <c r="K23" s="6" t="inlineStr">
        <is>
          <t>No</t>
        </is>
      </c>
      <c r="L23" s="7" t="n"/>
      <c r="M23" s="6" t="n"/>
      <c r="N23" s="6" t="n">
        <v>5</v>
      </c>
      <c r="O23" s="6" t="n">
        <v>7</v>
      </c>
      <c r="P23" s="6" t="n">
        <v>40</v>
      </c>
      <c r="Q23" s="6" t="inlineStr">
        <is>
          <t>No</t>
        </is>
      </c>
      <c r="R23" s="6">
        <f>IF(K23="Yes",1,0)</f>
        <v/>
      </c>
      <c r="S23" s="6">
        <f>IF(K23="No",1,0)</f>
        <v/>
      </c>
      <c r="T23" s="6">
        <f>ROUND((IF(L23="",'Subscriptions'!$T$2,L23)-J23)/30.44,1)</f>
        <v/>
      </c>
      <c r="U23" s="6">
        <f>IF(AND(P23&lt;'Subscriptions'!$T$4,O23&lt;='Subscriptions'!$T$5),1,0)</f>
        <v/>
      </c>
    </row>
    <row r="24">
      <c r="A24" s="6" t="inlineStr">
        <is>
          <t>CUST-0023</t>
        </is>
      </c>
      <c r="B24" s="6" t="inlineStr">
        <is>
          <t>Starter</t>
        </is>
      </c>
      <c r="C24" s="6" t="inlineStr">
        <is>
          <t>Monthly</t>
        </is>
      </c>
      <c r="D24" s="6" t="inlineStr">
        <is>
          <t>Healthcare</t>
        </is>
      </c>
      <c r="E24" s="6" t="inlineStr">
        <is>
          <t>11-50</t>
        </is>
      </c>
      <c r="F24" s="6" t="n">
        <v>25</v>
      </c>
      <c r="G24" s="6" t="n">
        <v>133.4</v>
      </c>
      <c r="H24" s="6" t="inlineStr">
        <is>
          <t>Paid Ads</t>
        </is>
      </c>
      <c r="I24" s="6" t="inlineStr">
        <is>
          <t>Europe</t>
        </is>
      </c>
      <c r="J24" s="7" t="n">
        <v>45339</v>
      </c>
      <c r="K24" s="6" t="inlineStr">
        <is>
          <t>Yes</t>
        </is>
      </c>
      <c r="L24" s="7" t="n">
        <v>45405</v>
      </c>
      <c r="M24" s="6" t="inlineStr">
        <is>
          <t>Company Closed</t>
        </is>
      </c>
      <c r="N24" s="6" t="n">
        <v>11</v>
      </c>
      <c r="O24" s="6" t="n">
        <v>1</v>
      </c>
      <c r="P24" s="6" t="n">
        <v>16</v>
      </c>
      <c r="Q24" s="6" t="inlineStr">
        <is>
          <t>No</t>
        </is>
      </c>
      <c r="R24" s="6">
        <f>IF(K24="Yes",1,0)</f>
        <v/>
      </c>
      <c r="S24" s="6">
        <f>IF(K24="No",1,0)</f>
        <v/>
      </c>
      <c r="T24" s="6">
        <f>ROUND((IF(L24="",'Subscriptions'!$T$2,L24)-J24)/30.44,1)</f>
        <v/>
      </c>
      <c r="U24" s="6">
        <f>IF(AND(P24&lt;'Subscriptions'!$T$4,O24&lt;='Subscriptions'!$T$5),1,0)</f>
        <v/>
      </c>
    </row>
    <row r="25">
      <c r="A25" s="6" t="inlineStr">
        <is>
          <t>CUST-0024</t>
        </is>
      </c>
      <c r="B25" s="6" t="inlineStr">
        <is>
          <t>Enterprise</t>
        </is>
      </c>
      <c r="C25" s="6" t="inlineStr">
        <is>
          <t>Annual</t>
        </is>
      </c>
      <c r="D25" s="6" t="inlineStr">
        <is>
          <t>Manufacturing</t>
        </is>
      </c>
      <c r="E25" s="6" t="inlineStr">
        <is>
          <t>11-50</t>
        </is>
      </c>
      <c r="F25" s="6" t="n">
        <v>14</v>
      </c>
      <c r="G25" s="6" t="n">
        <v>1251.24</v>
      </c>
      <c r="H25" s="6" t="inlineStr">
        <is>
          <t>Referral</t>
        </is>
      </c>
      <c r="I25" s="6" t="inlineStr">
        <is>
          <t>Europe</t>
        </is>
      </c>
      <c r="J25" s="7" t="n">
        <v>45799</v>
      </c>
      <c r="K25" s="6" t="inlineStr">
        <is>
          <t>No</t>
        </is>
      </c>
      <c r="L25" s="7" t="n"/>
      <c r="M25" s="6" t="n"/>
      <c r="N25" s="6" t="n">
        <v>11</v>
      </c>
      <c r="O25" s="6" t="n">
        <v>1</v>
      </c>
      <c r="P25" s="6" t="n">
        <v>85</v>
      </c>
      <c r="Q25" s="6" t="inlineStr">
        <is>
          <t>No</t>
        </is>
      </c>
      <c r="R25" s="6">
        <f>IF(K25="Yes",1,0)</f>
        <v/>
      </c>
      <c r="S25" s="6">
        <f>IF(K25="No",1,0)</f>
        <v/>
      </c>
      <c r="T25" s="6">
        <f>ROUND((IF(L25="",'Subscriptions'!$T$2,L25)-J25)/30.44,1)</f>
        <v/>
      </c>
      <c r="U25" s="6">
        <f>IF(AND(P25&lt;'Subscriptions'!$T$4,O25&lt;='Subscriptions'!$T$5),1,0)</f>
        <v/>
      </c>
    </row>
    <row r="26">
      <c r="A26" s="6" t="inlineStr">
        <is>
          <t>CUST-0025</t>
        </is>
      </c>
      <c r="B26" s="6" t="inlineStr">
        <is>
          <t>Starter</t>
        </is>
      </c>
      <c r="C26" s="6" t="inlineStr">
        <is>
          <t>Annual</t>
        </is>
      </c>
      <c r="D26" s="6" t="inlineStr">
        <is>
          <t>Retail</t>
        </is>
      </c>
      <c r="E26" s="6" t="inlineStr">
        <is>
          <t>11-50</t>
        </is>
      </c>
      <c r="F26" s="6" t="n">
        <v>7</v>
      </c>
      <c r="G26" s="6" t="n">
        <v>46.83</v>
      </c>
      <c r="H26" s="6" t="inlineStr">
        <is>
          <t>Referral</t>
        </is>
      </c>
      <c r="I26" s="6" t="inlineStr">
        <is>
          <t>North America</t>
        </is>
      </c>
      <c r="J26" s="7" t="n">
        <v>45451</v>
      </c>
      <c r="K26" s="6" t="inlineStr">
        <is>
          <t>No</t>
        </is>
      </c>
      <c r="L26" s="7" t="n"/>
      <c r="M26" s="6" t="n"/>
      <c r="N26" s="6" t="n">
        <v>1</v>
      </c>
      <c r="O26" s="6" t="n">
        <v>1</v>
      </c>
      <c r="P26" s="6" t="n">
        <v>42</v>
      </c>
      <c r="Q26" s="6" t="inlineStr">
        <is>
          <t>No</t>
        </is>
      </c>
      <c r="R26" s="6">
        <f>IF(K26="Yes",1,0)</f>
        <v/>
      </c>
      <c r="S26" s="6">
        <f>IF(K26="No",1,0)</f>
        <v/>
      </c>
      <c r="T26" s="6">
        <f>ROUND((IF(L26="",'Subscriptions'!$T$2,L26)-J26)/30.44,1)</f>
        <v/>
      </c>
      <c r="U26" s="6">
        <f>IF(AND(P26&lt;'Subscriptions'!$T$4,O26&lt;='Subscriptions'!$T$5),1,0)</f>
        <v/>
      </c>
    </row>
    <row r="27">
      <c r="A27" s="6" t="inlineStr">
        <is>
          <t>CUST-0026</t>
        </is>
      </c>
      <c r="B27" s="6" t="inlineStr">
        <is>
          <t>Enterprise</t>
        </is>
      </c>
      <c r="C27" s="6" t="inlineStr">
        <is>
          <t>Annual</t>
        </is>
      </c>
      <c r="D27" s="6" t="inlineStr">
        <is>
          <t>Media</t>
        </is>
      </c>
      <c r="E27" s="6" t="inlineStr">
        <is>
          <t>1-10</t>
        </is>
      </c>
      <c r="F27" s="6" t="n">
        <v>4</v>
      </c>
      <c r="G27" s="6" t="n">
        <v>615.02</v>
      </c>
      <c r="H27" s="6" t="inlineStr">
        <is>
          <t>Referral</t>
        </is>
      </c>
      <c r="I27" s="6" t="inlineStr">
        <is>
          <t>Europe</t>
        </is>
      </c>
      <c r="J27" s="7" t="n">
        <v>45863</v>
      </c>
      <c r="K27" s="6" t="inlineStr">
        <is>
          <t>No</t>
        </is>
      </c>
      <c r="L27" s="7" t="n"/>
      <c r="M27" s="6" t="n"/>
      <c r="N27" s="6" t="n">
        <v>2</v>
      </c>
      <c r="O27" s="6" t="n">
        <v>9</v>
      </c>
      <c r="P27" s="6" t="n">
        <v>73</v>
      </c>
      <c r="Q27" s="6" t="inlineStr">
        <is>
          <t>No</t>
        </is>
      </c>
      <c r="R27" s="6">
        <f>IF(K27="Yes",1,0)</f>
        <v/>
      </c>
      <c r="S27" s="6">
        <f>IF(K27="No",1,0)</f>
        <v/>
      </c>
      <c r="T27" s="6">
        <f>ROUND((IF(L27="",'Subscriptions'!$T$2,L27)-J27)/30.44,1)</f>
        <v/>
      </c>
      <c r="U27" s="6">
        <f>IF(AND(P27&lt;'Subscriptions'!$T$4,O27&lt;='Subscriptions'!$T$5),1,0)</f>
        <v/>
      </c>
    </row>
    <row r="28">
      <c r="A28" s="6" t="inlineStr">
        <is>
          <t>CUST-0027</t>
        </is>
      </c>
      <c r="B28" s="6" t="inlineStr">
        <is>
          <t>Starter</t>
        </is>
      </c>
      <c r="C28" s="6" t="inlineStr">
        <is>
          <t>Monthly</t>
        </is>
      </c>
      <c r="D28" s="6" t="inlineStr">
        <is>
          <t>Consulting</t>
        </is>
      </c>
      <c r="E28" s="6" t="inlineStr">
        <is>
          <t>1-10</t>
        </is>
      </c>
      <c r="F28" s="6" t="n">
        <v>1</v>
      </c>
      <c r="G28" s="6" t="n">
        <v>29</v>
      </c>
      <c r="H28" s="6" t="inlineStr">
        <is>
          <t>Partner</t>
        </is>
      </c>
      <c r="I28" s="6" t="inlineStr">
        <is>
          <t>Asia Pacific</t>
        </is>
      </c>
      <c r="J28" s="7" t="n">
        <v>45179</v>
      </c>
      <c r="K28" s="6" t="inlineStr">
        <is>
          <t>Yes</t>
        </is>
      </c>
      <c r="L28" s="7" t="n">
        <v>45771</v>
      </c>
      <c r="M28" s="6" t="inlineStr">
        <is>
          <t>Poor Support</t>
        </is>
      </c>
      <c r="N28" s="6" t="n">
        <v>8</v>
      </c>
      <c r="O28" s="6" t="n">
        <v>3</v>
      </c>
      <c r="P28" s="6" t="n">
        <v>10</v>
      </c>
      <c r="Q28" s="6" t="inlineStr">
        <is>
          <t>No</t>
        </is>
      </c>
      <c r="R28" s="6">
        <f>IF(K28="Yes",1,0)</f>
        <v/>
      </c>
      <c r="S28" s="6">
        <f>IF(K28="No",1,0)</f>
        <v/>
      </c>
      <c r="T28" s="6">
        <f>ROUND((IF(L28="",'Subscriptions'!$T$2,L28)-J28)/30.44,1)</f>
        <v/>
      </c>
      <c r="U28" s="6">
        <f>IF(AND(P28&lt;'Subscriptions'!$T$4,O28&lt;='Subscriptions'!$T$5),1,0)</f>
        <v/>
      </c>
    </row>
    <row r="29">
      <c r="A29" s="6" t="inlineStr">
        <is>
          <t>CUST-0028</t>
        </is>
      </c>
      <c r="B29" s="6" t="inlineStr">
        <is>
          <t>Professional</t>
        </is>
      </c>
      <c r="C29" s="6" t="inlineStr">
        <is>
          <t>Annual</t>
        </is>
      </c>
      <c r="D29" s="6" t="inlineStr">
        <is>
          <t>Technology</t>
        </is>
      </c>
      <c r="E29" s="6" t="inlineStr">
        <is>
          <t>51-200</t>
        </is>
      </c>
      <c r="F29" s="6" t="n">
        <v>35</v>
      </c>
      <c r="G29" s="6" t="n">
        <v>409.62</v>
      </c>
      <c r="H29" s="6" t="inlineStr">
        <is>
          <t>Organic Search</t>
        </is>
      </c>
      <c r="I29" s="6" t="inlineStr">
        <is>
          <t>Latin America</t>
        </is>
      </c>
      <c r="J29" s="7" t="n">
        <v>46020</v>
      </c>
      <c r="K29" s="6" t="inlineStr">
        <is>
          <t>No</t>
        </is>
      </c>
      <c r="L29" s="7" t="n"/>
      <c r="M29" s="6" t="n"/>
      <c r="N29" s="6" t="n">
        <v>8</v>
      </c>
      <c r="O29" s="6" t="n">
        <v>4</v>
      </c>
      <c r="P29" s="6" t="n">
        <v>53</v>
      </c>
      <c r="Q29" s="6" t="inlineStr">
        <is>
          <t>No</t>
        </is>
      </c>
      <c r="R29" s="6">
        <f>IF(K29="Yes",1,0)</f>
        <v/>
      </c>
      <c r="S29" s="6">
        <f>IF(K29="No",1,0)</f>
        <v/>
      </c>
      <c r="T29" s="6">
        <f>ROUND((IF(L29="",'Subscriptions'!$T$2,L29)-J29)/30.44,1)</f>
        <v/>
      </c>
      <c r="U29" s="6">
        <f>IF(AND(P29&lt;'Subscriptions'!$T$4,O29&lt;='Subscriptions'!$T$5),1,0)</f>
        <v/>
      </c>
    </row>
    <row r="30">
      <c r="A30" s="6" t="inlineStr">
        <is>
          <t>CUST-0029</t>
        </is>
      </c>
      <c r="B30" s="6" t="inlineStr">
        <is>
          <t>Starter</t>
        </is>
      </c>
      <c r="C30" s="6" t="inlineStr">
        <is>
          <t>Monthly</t>
        </is>
      </c>
      <c r="D30" s="6" t="inlineStr">
        <is>
          <t>Real Estate</t>
        </is>
      </c>
      <c r="E30" s="6" t="inlineStr">
        <is>
          <t>11-50</t>
        </is>
      </c>
      <c r="F30" s="6" t="n">
        <v>22</v>
      </c>
      <c r="G30" s="6" t="n">
        <v>120.35</v>
      </c>
      <c r="H30" s="6" t="inlineStr">
        <is>
          <t>Organic Search</t>
        </is>
      </c>
      <c r="I30" s="6" t="inlineStr">
        <is>
          <t>North America</t>
        </is>
      </c>
      <c r="J30" s="7" t="n">
        <v>44901</v>
      </c>
      <c r="K30" s="6" t="inlineStr">
        <is>
          <t>Yes</t>
        </is>
      </c>
      <c r="L30" s="7" t="n">
        <v>45153</v>
      </c>
      <c r="M30" s="6" t="inlineStr">
        <is>
          <t>Missing Features</t>
        </is>
      </c>
      <c r="N30" s="6" t="n">
        <v>4</v>
      </c>
      <c r="O30" s="6" t="n">
        <v>2</v>
      </c>
      <c r="P30" s="6" t="n">
        <v>17</v>
      </c>
      <c r="Q30" s="6" t="inlineStr">
        <is>
          <t>No</t>
        </is>
      </c>
      <c r="R30" s="6">
        <f>IF(K30="Yes",1,0)</f>
        <v/>
      </c>
      <c r="S30" s="6">
        <f>IF(K30="No",1,0)</f>
        <v/>
      </c>
      <c r="T30" s="6">
        <f>ROUND((IF(L30="",'Subscriptions'!$T$2,L30)-J30)/30.44,1)</f>
        <v/>
      </c>
      <c r="U30" s="6">
        <f>IF(AND(P30&lt;'Subscriptions'!$T$4,O30&lt;='Subscriptions'!$T$5),1,0)</f>
        <v/>
      </c>
    </row>
    <row r="31">
      <c r="A31" s="6" t="inlineStr">
        <is>
          <t>CUST-0030</t>
        </is>
      </c>
      <c r="B31" s="6" t="inlineStr">
        <is>
          <t>Business</t>
        </is>
      </c>
      <c r="C31" s="6" t="inlineStr">
        <is>
          <t>Annual</t>
        </is>
      </c>
      <c r="D31" s="6" t="inlineStr">
        <is>
          <t>Real Estate</t>
        </is>
      </c>
      <c r="E31" s="6" t="inlineStr">
        <is>
          <t>500+</t>
        </is>
      </c>
      <c r="F31" s="6" t="n">
        <v>230</v>
      </c>
      <c r="G31" s="6" t="n">
        <v>5979.45</v>
      </c>
      <c r="H31" s="6" t="inlineStr">
        <is>
          <t>Partner</t>
        </is>
      </c>
      <c r="I31" s="6" t="inlineStr">
        <is>
          <t>Europe</t>
        </is>
      </c>
      <c r="J31" s="7" t="n">
        <v>45234</v>
      </c>
      <c r="K31" s="6" t="inlineStr">
        <is>
          <t>No</t>
        </is>
      </c>
      <c r="L31" s="7" t="n"/>
      <c r="M31" s="6" t="n"/>
      <c r="N31" s="6" t="n">
        <v>9</v>
      </c>
      <c r="O31" s="6" t="n">
        <v>3</v>
      </c>
      <c r="P31" s="6" t="n">
        <v>76</v>
      </c>
      <c r="Q31" s="6" t="inlineStr">
        <is>
          <t>No</t>
        </is>
      </c>
      <c r="R31" s="6">
        <f>IF(K31="Yes",1,0)</f>
        <v/>
      </c>
      <c r="S31" s="6">
        <f>IF(K31="No",1,0)</f>
        <v/>
      </c>
      <c r="T31" s="6">
        <f>ROUND((IF(L31="",'Subscriptions'!$T$2,L31)-J31)/30.44,1)</f>
        <v/>
      </c>
      <c r="U31" s="6">
        <f>IF(AND(P31&lt;'Subscriptions'!$T$4,O31&lt;='Subscriptions'!$T$5),1,0)</f>
        <v/>
      </c>
    </row>
    <row r="32">
      <c r="A32" s="6" t="inlineStr">
        <is>
          <t>CUST-0031</t>
        </is>
      </c>
      <c r="B32" s="6" t="inlineStr">
        <is>
          <t>Business</t>
        </is>
      </c>
      <c r="C32" s="6" t="inlineStr">
        <is>
          <t>Annual</t>
        </is>
      </c>
      <c r="D32" s="6" t="inlineStr">
        <is>
          <t>Finance</t>
        </is>
      </c>
      <c r="E32" s="6" t="inlineStr">
        <is>
          <t>500+</t>
        </is>
      </c>
      <c r="F32" s="6" t="n">
        <v>174</v>
      </c>
      <c r="G32" s="6" t="n">
        <v>4558.59</v>
      </c>
      <c r="H32" s="6" t="inlineStr">
        <is>
          <t>Direct Sales</t>
        </is>
      </c>
      <c r="I32" s="6" t="inlineStr">
        <is>
          <t>Europe</t>
        </is>
      </c>
      <c r="J32" s="7" t="n">
        <v>45493</v>
      </c>
      <c r="K32" s="6" t="inlineStr">
        <is>
          <t>No</t>
        </is>
      </c>
      <c r="L32" s="7" t="n"/>
      <c r="M32" s="6" t="n"/>
      <c r="N32" s="6" t="n">
        <v>8</v>
      </c>
      <c r="O32" s="6" t="n">
        <v>7</v>
      </c>
      <c r="P32" s="6" t="n">
        <v>84</v>
      </c>
      <c r="Q32" s="6" t="inlineStr">
        <is>
          <t>No</t>
        </is>
      </c>
      <c r="R32" s="6">
        <f>IF(K32="Yes",1,0)</f>
        <v/>
      </c>
      <c r="S32" s="6">
        <f>IF(K32="No",1,0)</f>
        <v/>
      </c>
      <c r="T32" s="6">
        <f>ROUND((IF(L32="",'Subscriptions'!$T$2,L32)-J32)/30.44,1)</f>
        <v/>
      </c>
      <c r="U32" s="6">
        <f>IF(AND(P32&lt;'Subscriptions'!$T$4,O32&lt;='Subscriptions'!$T$5),1,0)</f>
        <v/>
      </c>
    </row>
    <row r="33">
      <c r="A33" s="6" t="inlineStr">
        <is>
          <t>CUST-0032</t>
        </is>
      </c>
      <c r="B33" s="6" t="inlineStr">
        <is>
          <t>Enterprise</t>
        </is>
      </c>
      <c r="C33" s="6" t="inlineStr">
        <is>
          <t>Annual</t>
        </is>
      </c>
      <c r="D33" s="6" t="inlineStr">
        <is>
          <t>Technology</t>
        </is>
      </c>
      <c r="E33" s="6" t="inlineStr">
        <is>
          <t>1-10</t>
        </is>
      </c>
      <c r="F33" s="6" t="n">
        <v>5</v>
      </c>
      <c r="G33" s="6" t="n">
        <v>678.64</v>
      </c>
      <c r="H33" s="6" t="inlineStr">
        <is>
          <t>Referral</t>
        </is>
      </c>
      <c r="I33" s="6" t="inlineStr">
        <is>
          <t>North America</t>
        </is>
      </c>
      <c r="J33" s="7" t="n">
        <v>45013</v>
      </c>
      <c r="K33" s="6" t="inlineStr">
        <is>
          <t>No</t>
        </is>
      </c>
      <c r="L33" s="7" t="n"/>
      <c r="M33" s="6" t="n"/>
      <c r="N33" s="6" t="n">
        <v>7</v>
      </c>
      <c r="O33" s="6" t="n">
        <v>8</v>
      </c>
      <c r="P33" s="6" t="n">
        <v>16</v>
      </c>
      <c r="Q33" s="6" t="inlineStr">
        <is>
          <t>No</t>
        </is>
      </c>
      <c r="R33" s="6">
        <f>IF(K33="Yes",1,0)</f>
        <v/>
      </c>
      <c r="S33" s="6">
        <f>IF(K33="No",1,0)</f>
        <v/>
      </c>
      <c r="T33" s="6">
        <f>ROUND((IF(L33="",'Subscriptions'!$T$2,L33)-J33)/30.44,1)</f>
        <v/>
      </c>
      <c r="U33" s="6">
        <f>IF(AND(P33&lt;'Subscriptions'!$T$4,O33&lt;='Subscriptions'!$T$5),1,0)</f>
        <v/>
      </c>
    </row>
    <row r="34">
      <c r="A34" s="6" t="inlineStr">
        <is>
          <t>CUST-0033</t>
        </is>
      </c>
      <c r="B34" s="6" t="inlineStr">
        <is>
          <t>Starter</t>
        </is>
      </c>
      <c r="C34" s="6" t="inlineStr">
        <is>
          <t>Annual</t>
        </is>
      </c>
      <c r="D34" s="6" t="inlineStr">
        <is>
          <t>Consulting</t>
        </is>
      </c>
      <c r="E34" s="6" t="inlineStr">
        <is>
          <t>1-10</t>
        </is>
      </c>
      <c r="F34" s="6" t="n">
        <v>6</v>
      </c>
      <c r="G34" s="6" t="n">
        <v>43.14</v>
      </c>
      <c r="H34" s="6" t="inlineStr">
        <is>
          <t>Organic Search</t>
        </is>
      </c>
      <c r="I34" s="6" t="inlineStr">
        <is>
          <t>Latin America</t>
        </is>
      </c>
      <c r="J34" s="7" t="n">
        <v>45431</v>
      </c>
      <c r="K34" s="6" t="inlineStr">
        <is>
          <t>Yes</t>
        </is>
      </c>
      <c r="L34" s="7" t="n">
        <v>45502</v>
      </c>
      <c r="M34" s="6" t="inlineStr">
        <is>
          <t>No Longer Needed</t>
        </is>
      </c>
      <c r="N34" s="6" t="n">
        <v>11</v>
      </c>
      <c r="O34" s="6" t="n">
        <v>3</v>
      </c>
      <c r="P34" s="6" t="n">
        <v>30</v>
      </c>
      <c r="Q34" s="6" t="inlineStr">
        <is>
          <t>No</t>
        </is>
      </c>
      <c r="R34" s="6">
        <f>IF(K34="Yes",1,0)</f>
        <v/>
      </c>
      <c r="S34" s="6">
        <f>IF(K34="No",1,0)</f>
        <v/>
      </c>
      <c r="T34" s="6">
        <f>ROUND((IF(L34="",'Subscriptions'!$T$2,L34)-J34)/30.44,1)</f>
        <v/>
      </c>
      <c r="U34" s="6">
        <f>IF(AND(P34&lt;'Subscriptions'!$T$4,O34&lt;='Subscriptions'!$T$5),1,0)</f>
        <v/>
      </c>
    </row>
    <row r="35">
      <c r="A35" s="6" t="inlineStr">
        <is>
          <t>CUST-0034</t>
        </is>
      </c>
      <c r="B35" s="6" t="inlineStr">
        <is>
          <t>Enterprise</t>
        </is>
      </c>
      <c r="C35" s="6" t="inlineStr">
        <is>
          <t>Annual</t>
        </is>
      </c>
      <c r="D35" s="6" t="inlineStr">
        <is>
          <t>Education</t>
        </is>
      </c>
      <c r="E35" s="6" t="inlineStr">
        <is>
          <t>11-50</t>
        </is>
      </c>
      <c r="F35" s="6" t="n">
        <v>35</v>
      </c>
      <c r="G35" s="6" t="n">
        <v>2587.32</v>
      </c>
      <c r="H35" s="6" t="inlineStr">
        <is>
          <t>Referral</t>
        </is>
      </c>
      <c r="I35" s="6" t="inlineStr">
        <is>
          <t>North America</t>
        </is>
      </c>
      <c r="J35" s="7" t="n">
        <v>45194</v>
      </c>
      <c r="K35" s="6" t="inlineStr">
        <is>
          <t>No</t>
        </is>
      </c>
      <c r="L35" s="7" t="n"/>
      <c r="M35" s="6" t="n"/>
      <c r="N35" s="6" t="n">
        <v>5</v>
      </c>
      <c r="O35" s="6" t="n">
        <v>8</v>
      </c>
      <c r="P35" s="6" t="n">
        <v>33</v>
      </c>
      <c r="Q35" s="6" t="inlineStr">
        <is>
          <t>Yes</t>
        </is>
      </c>
      <c r="R35" s="6">
        <f>IF(K35="Yes",1,0)</f>
        <v/>
      </c>
      <c r="S35" s="6">
        <f>IF(K35="No",1,0)</f>
        <v/>
      </c>
      <c r="T35" s="6">
        <f>ROUND((IF(L35="",'Subscriptions'!$T$2,L35)-J35)/30.44,1)</f>
        <v/>
      </c>
      <c r="U35" s="6">
        <f>IF(AND(P35&lt;'Subscriptions'!$T$4,O35&lt;='Subscriptions'!$T$5),1,0)</f>
        <v/>
      </c>
    </row>
    <row r="36">
      <c r="A36" s="6" t="inlineStr">
        <is>
          <t>CUST-0035</t>
        </is>
      </c>
      <c r="B36" s="6" t="inlineStr">
        <is>
          <t>Starter</t>
        </is>
      </c>
      <c r="C36" s="6" t="inlineStr">
        <is>
          <t>Monthly</t>
        </is>
      </c>
      <c r="D36" s="6" t="inlineStr">
        <is>
          <t>Manufacturing</t>
        </is>
      </c>
      <c r="E36" s="6" t="inlineStr">
        <is>
          <t>51-200</t>
        </is>
      </c>
      <c r="F36" s="6" t="n">
        <v>70</v>
      </c>
      <c r="G36" s="6" t="n">
        <v>329.15</v>
      </c>
      <c r="H36" s="6" t="inlineStr">
        <is>
          <t>Organic Search</t>
        </is>
      </c>
      <c r="I36" s="6" t="inlineStr">
        <is>
          <t>Latin America</t>
        </is>
      </c>
      <c r="J36" s="7" t="n">
        <v>44689</v>
      </c>
      <c r="K36" s="6" t="inlineStr">
        <is>
          <t>Yes</t>
        </is>
      </c>
      <c r="L36" s="7" t="n">
        <v>44766</v>
      </c>
      <c r="M36" s="6" t="inlineStr">
        <is>
          <t>Switched Competitor</t>
        </is>
      </c>
      <c r="N36" s="6" t="n">
        <v>0</v>
      </c>
      <c r="O36" s="6" t="n">
        <v>6</v>
      </c>
      <c r="P36" s="6" t="n">
        <v>30</v>
      </c>
      <c r="Q36" s="6" t="inlineStr">
        <is>
          <t>No</t>
        </is>
      </c>
      <c r="R36" s="6">
        <f>IF(K36="Yes",1,0)</f>
        <v/>
      </c>
      <c r="S36" s="6">
        <f>IF(K36="No",1,0)</f>
        <v/>
      </c>
      <c r="T36" s="6">
        <f>ROUND((IF(L36="",'Subscriptions'!$T$2,L36)-J36)/30.44,1)</f>
        <v/>
      </c>
      <c r="U36" s="6">
        <f>IF(AND(P36&lt;'Subscriptions'!$T$4,O36&lt;='Subscriptions'!$T$5),1,0)</f>
        <v/>
      </c>
    </row>
    <row r="37">
      <c r="A37" s="6" t="inlineStr">
        <is>
          <t>CUST-0036</t>
        </is>
      </c>
      <c r="B37" s="6" t="inlineStr">
        <is>
          <t>Professional</t>
        </is>
      </c>
      <c r="C37" s="6" t="inlineStr">
        <is>
          <t>Monthly</t>
        </is>
      </c>
      <c r="D37" s="6" t="inlineStr">
        <is>
          <t>Manufacturing</t>
        </is>
      </c>
      <c r="E37" s="6" t="inlineStr">
        <is>
          <t>1-10</t>
        </is>
      </c>
      <c r="F37" s="6" t="n">
        <v>7</v>
      </c>
      <c r="G37" s="6" t="n">
        <v>150.1</v>
      </c>
      <c r="H37" s="6" t="inlineStr">
        <is>
          <t>Referral</t>
        </is>
      </c>
      <c r="I37" s="6" t="inlineStr">
        <is>
          <t>Latin America</t>
        </is>
      </c>
      <c r="J37" s="7" t="n">
        <v>45038</v>
      </c>
      <c r="K37" s="6" t="inlineStr">
        <is>
          <t>Yes</t>
        </is>
      </c>
      <c r="L37" s="7" t="n">
        <v>45284</v>
      </c>
      <c r="M37" s="6" t="inlineStr">
        <is>
          <t>Company Closed</t>
        </is>
      </c>
      <c r="N37" s="6" t="n">
        <v>10</v>
      </c>
      <c r="O37" s="6" t="n">
        <v>6</v>
      </c>
      <c r="P37" s="6" t="n">
        <v>16</v>
      </c>
      <c r="Q37" s="6" t="inlineStr">
        <is>
          <t>No</t>
        </is>
      </c>
      <c r="R37" s="6">
        <f>IF(K37="Yes",1,0)</f>
        <v/>
      </c>
      <c r="S37" s="6">
        <f>IF(K37="No",1,0)</f>
        <v/>
      </c>
      <c r="T37" s="6">
        <f>ROUND((IF(L37="",'Subscriptions'!$T$2,L37)-J37)/30.44,1)</f>
        <v/>
      </c>
      <c r="U37" s="6">
        <f>IF(AND(P37&lt;'Subscriptions'!$T$4,O37&lt;='Subscriptions'!$T$5),1,0)</f>
        <v/>
      </c>
    </row>
    <row r="38">
      <c r="A38" s="6" t="inlineStr">
        <is>
          <t>CUST-0037</t>
        </is>
      </c>
      <c r="B38" s="6" t="inlineStr">
        <is>
          <t>Professional</t>
        </is>
      </c>
      <c r="C38" s="6" t="inlineStr">
        <is>
          <t>Monthly</t>
        </is>
      </c>
      <c r="D38" s="6" t="inlineStr">
        <is>
          <t>Technology</t>
        </is>
      </c>
      <c r="E38" s="6" t="inlineStr">
        <is>
          <t>1-10</t>
        </is>
      </c>
      <c r="F38" s="6" t="n">
        <v>2</v>
      </c>
      <c r="G38" s="6" t="n">
        <v>90.84999999999999</v>
      </c>
      <c r="H38" s="6" t="inlineStr">
        <is>
          <t>Direct Sales</t>
        </is>
      </c>
      <c r="I38" s="6" t="inlineStr">
        <is>
          <t>North America</t>
        </is>
      </c>
      <c r="J38" s="7" t="n">
        <v>45457</v>
      </c>
      <c r="K38" s="6" t="inlineStr">
        <is>
          <t>Yes</t>
        </is>
      </c>
      <c r="L38" s="7" t="n">
        <v>45604</v>
      </c>
      <c r="M38" s="6" t="inlineStr">
        <is>
          <t>No Longer Needed</t>
        </is>
      </c>
      <c r="N38" s="6" t="n">
        <v>11</v>
      </c>
      <c r="O38" s="6" t="n">
        <v>2</v>
      </c>
      <c r="P38" s="6" t="n">
        <v>34</v>
      </c>
      <c r="Q38" s="6" t="inlineStr">
        <is>
          <t>No</t>
        </is>
      </c>
      <c r="R38" s="6">
        <f>IF(K38="Yes",1,0)</f>
        <v/>
      </c>
      <c r="S38" s="6">
        <f>IF(K38="No",1,0)</f>
        <v/>
      </c>
      <c r="T38" s="6">
        <f>ROUND((IF(L38="",'Subscriptions'!$T$2,L38)-J38)/30.44,1)</f>
        <v/>
      </c>
      <c r="U38" s="6">
        <f>IF(AND(P38&lt;'Subscriptions'!$T$4,O38&lt;='Subscriptions'!$T$5),1,0)</f>
        <v/>
      </c>
    </row>
    <row r="39">
      <c r="A39" s="6" t="inlineStr">
        <is>
          <t>CUST-0038</t>
        </is>
      </c>
      <c r="B39" s="6" t="inlineStr">
        <is>
          <t>Professional</t>
        </is>
      </c>
      <c r="C39" s="6" t="inlineStr">
        <is>
          <t>Monthly</t>
        </is>
      </c>
      <c r="D39" s="6" t="inlineStr">
        <is>
          <t>Real Estate</t>
        </is>
      </c>
      <c r="E39" s="6" t="inlineStr">
        <is>
          <t>1-10</t>
        </is>
      </c>
      <c r="F39" s="6" t="n">
        <v>5</v>
      </c>
      <c r="G39" s="6" t="n">
        <v>126.4</v>
      </c>
      <c r="H39" s="6" t="inlineStr">
        <is>
          <t>Organic Search</t>
        </is>
      </c>
      <c r="I39" s="6" t="inlineStr">
        <is>
          <t>Europe</t>
        </is>
      </c>
      <c r="J39" s="7" t="n">
        <v>44718</v>
      </c>
      <c r="K39" s="6" t="inlineStr">
        <is>
          <t>Yes</t>
        </is>
      </c>
      <c r="L39" s="7" t="n">
        <v>44784</v>
      </c>
      <c r="M39" s="6" t="inlineStr">
        <is>
          <t>Budget Cuts</t>
        </is>
      </c>
      <c r="N39" s="6" t="n">
        <v>6</v>
      </c>
      <c r="O39" s="6" t="n">
        <v>1</v>
      </c>
      <c r="P39" s="6" t="n">
        <v>30</v>
      </c>
      <c r="Q39" s="6" t="inlineStr">
        <is>
          <t>No</t>
        </is>
      </c>
      <c r="R39" s="6">
        <f>IF(K39="Yes",1,0)</f>
        <v/>
      </c>
      <c r="S39" s="6">
        <f>IF(K39="No",1,0)</f>
        <v/>
      </c>
      <c r="T39" s="6">
        <f>ROUND((IF(L39="",'Subscriptions'!$T$2,L39)-J39)/30.44,1)</f>
        <v/>
      </c>
      <c r="U39" s="6">
        <f>IF(AND(P39&lt;'Subscriptions'!$T$4,O39&lt;='Subscriptions'!$T$5),1,0)</f>
        <v/>
      </c>
    </row>
    <row r="40">
      <c r="A40" s="6" t="inlineStr">
        <is>
          <t>CUST-0039</t>
        </is>
      </c>
      <c r="B40" s="6" t="inlineStr">
        <is>
          <t>Business</t>
        </is>
      </c>
      <c r="C40" s="6" t="inlineStr">
        <is>
          <t>Annual</t>
        </is>
      </c>
      <c r="D40" s="6" t="inlineStr">
        <is>
          <t>Retail</t>
        </is>
      </c>
      <c r="E40" s="6" t="inlineStr">
        <is>
          <t>51-200</t>
        </is>
      </c>
      <c r="F40" s="6" t="n">
        <v>30</v>
      </c>
      <c r="G40" s="6" t="n">
        <v>904.95</v>
      </c>
      <c r="H40" s="6" t="inlineStr">
        <is>
          <t>Organic Search</t>
        </is>
      </c>
      <c r="I40" s="6" t="inlineStr">
        <is>
          <t>Asia Pacific</t>
        </is>
      </c>
      <c r="J40" s="7" t="n">
        <v>45414</v>
      </c>
      <c r="K40" s="6" t="inlineStr">
        <is>
          <t>No</t>
        </is>
      </c>
      <c r="L40" s="7" t="n"/>
      <c r="M40" s="6" t="n"/>
      <c r="N40" s="6" t="n">
        <v>4</v>
      </c>
      <c r="O40" s="6" t="n">
        <v>9</v>
      </c>
      <c r="P40" s="6" t="n">
        <v>71</v>
      </c>
      <c r="Q40" s="6" t="inlineStr">
        <is>
          <t>Yes</t>
        </is>
      </c>
      <c r="R40" s="6">
        <f>IF(K40="Yes",1,0)</f>
        <v/>
      </c>
      <c r="S40" s="6">
        <f>IF(K40="No",1,0)</f>
        <v/>
      </c>
      <c r="T40" s="6">
        <f>ROUND((IF(L40="",'Subscriptions'!$T$2,L40)-J40)/30.44,1)</f>
        <v/>
      </c>
      <c r="U40" s="6">
        <f>IF(AND(P40&lt;'Subscriptions'!$T$4,O40&lt;='Subscriptions'!$T$5),1,0)</f>
        <v/>
      </c>
    </row>
    <row r="41">
      <c r="A41" s="6" t="inlineStr">
        <is>
          <t>CUST-0040</t>
        </is>
      </c>
      <c r="B41" s="6" t="inlineStr">
        <is>
          <t>Business</t>
        </is>
      </c>
      <c r="C41" s="6" t="inlineStr">
        <is>
          <t>Annual</t>
        </is>
      </c>
      <c r="D41" s="6" t="inlineStr">
        <is>
          <t>Media</t>
        </is>
      </c>
      <c r="E41" s="6" t="inlineStr">
        <is>
          <t>11-50</t>
        </is>
      </c>
      <c r="F41" s="6" t="n">
        <v>24</v>
      </c>
      <c r="G41" s="6" t="n">
        <v>752.72</v>
      </c>
      <c r="H41" s="6" t="inlineStr">
        <is>
          <t>Direct Sales</t>
        </is>
      </c>
      <c r="I41" s="6" t="inlineStr">
        <is>
          <t>Asia Pacific</t>
        </is>
      </c>
      <c r="J41" s="7" t="n">
        <v>45063</v>
      </c>
      <c r="K41" s="6" t="inlineStr">
        <is>
          <t>No</t>
        </is>
      </c>
      <c r="L41" s="7" t="n"/>
      <c r="M41" s="6" t="n"/>
      <c r="N41" s="6" t="n">
        <v>9</v>
      </c>
      <c r="O41" s="6" t="n">
        <v>2</v>
      </c>
      <c r="P41" s="6" t="n">
        <v>76</v>
      </c>
      <c r="Q41" s="6" t="inlineStr">
        <is>
          <t>No</t>
        </is>
      </c>
      <c r="R41" s="6">
        <f>IF(K41="Yes",1,0)</f>
        <v/>
      </c>
      <c r="S41" s="6">
        <f>IF(K41="No",1,0)</f>
        <v/>
      </c>
      <c r="T41" s="6">
        <f>ROUND((IF(L41="",'Subscriptions'!$T$2,L41)-J41)/30.44,1)</f>
        <v/>
      </c>
      <c r="U41" s="6">
        <f>IF(AND(P41&lt;'Subscriptions'!$T$4,O41&lt;='Subscriptions'!$T$5),1,0)</f>
        <v/>
      </c>
    </row>
    <row r="42">
      <c r="A42" s="6" t="inlineStr">
        <is>
          <t>CUST-0041</t>
        </is>
      </c>
      <c r="B42" s="6" t="inlineStr">
        <is>
          <t>Starter</t>
        </is>
      </c>
      <c r="C42" s="6" t="inlineStr">
        <is>
          <t>Monthly</t>
        </is>
      </c>
      <c r="D42" s="6" t="inlineStr">
        <is>
          <t>Education</t>
        </is>
      </c>
      <c r="E42" s="6" t="inlineStr">
        <is>
          <t>51-200</t>
        </is>
      </c>
      <c r="F42" s="6" t="n">
        <v>53</v>
      </c>
      <c r="G42" s="6" t="n">
        <v>255.2</v>
      </c>
      <c r="H42" s="6" t="inlineStr">
        <is>
          <t>Referral</t>
        </is>
      </c>
      <c r="I42" s="6" t="inlineStr">
        <is>
          <t>Asia Pacific</t>
        </is>
      </c>
      <c r="J42" s="7" t="n">
        <v>44916</v>
      </c>
      <c r="K42" s="6" t="inlineStr">
        <is>
          <t>Yes</t>
        </is>
      </c>
      <c r="L42" s="7" t="n">
        <v>45065</v>
      </c>
      <c r="M42" s="6" t="inlineStr">
        <is>
          <t>Poor Support</t>
        </is>
      </c>
      <c r="N42" s="6" t="n">
        <v>4</v>
      </c>
      <c r="O42" s="6" t="n">
        <v>5</v>
      </c>
      <c r="P42" s="6" t="n">
        <v>45</v>
      </c>
      <c r="Q42" s="6" t="inlineStr">
        <is>
          <t>No</t>
        </is>
      </c>
      <c r="R42" s="6">
        <f>IF(K42="Yes",1,0)</f>
        <v/>
      </c>
      <c r="S42" s="6">
        <f>IF(K42="No",1,0)</f>
        <v/>
      </c>
      <c r="T42" s="6">
        <f>ROUND((IF(L42="",'Subscriptions'!$T$2,L42)-J42)/30.44,1)</f>
        <v/>
      </c>
      <c r="U42" s="6">
        <f>IF(AND(P42&lt;'Subscriptions'!$T$4,O42&lt;='Subscriptions'!$T$5),1,0)</f>
        <v/>
      </c>
    </row>
    <row r="43">
      <c r="A43" s="6" t="inlineStr">
        <is>
          <t>CUST-0042</t>
        </is>
      </c>
      <c r="B43" s="6" t="inlineStr">
        <is>
          <t>Starter</t>
        </is>
      </c>
      <c r="C43" s="6" t="inlineStr">
        <is>
          <t>Monthly</t>
        </is>
      </c>
      <c r="D43" s="6" t="inlineStr">
        <is>
          <t>Real Estate</t>
        </is>
      </c>
      <c r="E43" s="6" t="inlineStr">
        <is>
          <t>51-200</t>
        </is>
      </c>
      <c r="F43" s="6" t="n">
        <v>34</v>
      </c>
      <c r="G43" s="6" t="n">
        <v>172.55</v>
      </c>
      <c r="H43" s="6" t="inlineStr">
        <is>
          <t>Partner</t>
        </is>
      </c>
      <c r="I43" s="6" t="inlineStr">
        <is>
          <t>Europe</t>
        </is>
      </c>
      <c r="J43" s="7" t="n">
        <v>45661</v>
      </c>
      <c r="K43" s="6" t="inlineStr">
        <is>
          <t>No</t>
        </is>
      </c>
      <c r="L43" s="7" t="n"/>
      <c r="M43" s="6" t="n"/>
      <c r="N43" s="6" t="n">
        <v>9</v>
      </c>
      <c r="O43" s="6" t="n">
        <v>2</v>
      </c>
      <c r="P43" s="6" t="n">
        <v>73</v>
      </c>
      <c r="Q43" s="6" t="inlineStr">
        <is>
          <t>No</t>
        </is>
      </c>
      <c r="R43" s="6">
        <f>IF(K43="Yes",1,0)</f>
        <v/>
      </c>
      <c r="S43" s="6">
        <f>IF(K43="No",1,0)</f>
        <v/>
      </c>
      <c r="T43" s="6">
        <f>ROUND((IF(L43="",'Subscriptions'!$T$2,L43)-J43)/30.44,1)</f>
        <v/>
      </c>
      <c r="U43" s="6">
        <f>IF(AND(P43&lt;'Subscriptions'!$T$4,O43&lt;='Subscriptions'!$T$5),1,0)</f>
        <v/>
      </c>
    </row>
    <row r="44">
      <c r="A44" s="6" t="inlineStr">
        <is>
          <t>CUST-0043</t>
        </is>
      </c>
      <c r="B44" s="6" t="inlineStr">
        <is>
          <t>Professional</t>
        </is>
      </c>
      <c r="C44" s="6" t="inlineStr">
        <is>
          <t>Annual</t>
        </is>
      </c>
      <c r="D44" s="6" t="inlineStr">
        <is>
          <t>Manufacturing</t>
        </is>
      </c>
      <c r="E44" s="6" t="inlineStr">
        <is>
          <t>1-10</t>
        </is>
      </c>
      <c r="F44" s="6" t="n">
        <v>2</v>
      </c>
      <c r="G44" s="6" t="n">
        <v>77.22</v>
      </c>
      <c r="H44" s="6" t="inlineStr">
        <is>
          <t>Paid Ads</t>
        </is>
      </c>
      <c r="I44" s="6" t="inlineStr">
        <is>
          <t>Europe</t>
        </is>
      </c>
      <c r="J44" s="7" t="n">
        <v>44612</v>
      </c>
      <c r="K44" s="6" t="inlineStr">
        <is>
          <t>No</t>
        </is>
      </c>
      <c r="L44" s="7" t="n"/>
      <c r="M44" s="6" t="n"/>
      <c r="N44" s="6" t="n">
        <v>9</v>
      </c>
      <c r="O44" s="6" t="n">
        <v>9</v>
      </c>
      <c r="P44" s="6" t="n">
        <v>20</v>
      </c>
      <c r="Q44" s="6" t="inlineStr">
        <is>
          <t>No</t>
        </is>
      </c>
      <c r="R44" s="6">
        <f>IF(K44="Yes",1,0)</f>
        <v/>
      </c>
      <c r="S44" s="6">
        <f>IF(K44="No",1,0)</f>
        <v/>
      </c>
      <c r="T44" s="6">
        <f>ROUND((IF(L44="",'Subscriptions'!$T$2,L44)-J44)/30.44,1)</f>
        <v/>
      </c>
      <c r="U44" s="6">
        <f>IF(AND(P44&lt;'Subscriptions'!$T$4,O44&lt;='Subscriptions'!$T$5),1,0)</f>
        <v/>
      </c>
    </row>
    <row r="45">
      <c r="A45" s="6" t="inlineStr">
        <is>
          <t>CUST-0044</t>
        </is>
      </c>
      <c r="B45" s="6" t="inlineStr">
        <is>
          <t>Professional</t>
        </is>
      </c>
      <c r="C45" s="6" t="inlineStr">
        <is>
          <t>Annual</t>
        </is>
      </c>
      <c r="D45" s="6" t="inlineStr">
        <is>
          <t>Legal</t>
        </is>
      </c>
      <c r="E45" s="6" t="inlineStr">
        <is>
          <t>1-10</t>
        </is>
      </c>
      <c r="F45" s="6" t="n">
        <v>2</v>
      </c>
      <c r="G45" s="6" t="n">
        <v>77.22</v>
      </c>
      <c r="H45" s="6" t="inlineStr">
        <is>
          <t>Social Media</t>
        </is>
      </c>
      <c r="I45" s="6" t="inlineStr">
        <is>
          <t>North America</t>
        </is>
      </c>
      <c r="J45" s="7" t="n">
        <v>44678</v>
      </c>
      <c r="K45" s="6" t="inlineStr">
        <is>
          <t>Yes</t>
        </is>
      </c>
      <c r="L45" s="7" t="n">
        <v>44775</v>
      </c>
      <c r="M45" s="6" t="inlineStr">
        <is>
          <t>Price Too High</t>
        </is>
      </c>
      <c r="N45" s="6" t="n">
        <v>7</v>
      </c>
      <c r="O45" s="6" t="n">
        <v>6</v>
      </c>
      <c r="P45" s="6" t="n">
        <v>20</v>
      </c>
      <c r="Q45" s="6" t="inlineStr">
        <is>
          <t>No</t>
        </is>
      </c>
      <c r="R45" s="6">
        <f>IF(K45="Yes",1,0)</f>
        <v/>
      </c>
      <c r="S45" s="6">
        <f>IF(K45="No",1,0)</f>
        <v/>
      </c>
      <c r="T45" s="6">
        <f>ROUND((IF(L45="",'Subscriptions'!$T$2,L45)-J45)/30.44,1)</f>
        <v/>
      </c>
      <c r="U45" s="6">
        <f>IF(AND(P45&lt;'Subscriptions'!$T$4,O45&lt;='Subscriptions'!$T$5),1,0)</f>
        <v/>
      </c>
    </row>
    <row r="46">
      <c r="A46" s="6" t="inlineStr">
        <is>
          <t>CUST-0045</t>
        </is>
      </c>
      <c r="B46" s="6" t="inlineStr">
        <is>
          <t>Starter</t>
        </is>
      </c>
      <c r="C46" s="6" t="inlineStr">
        <is>
          <t>Monthly</t>
        </is>
      </c>
      <c r="D46" s="6" t="inlineStr">
        <is>
          <t>Retail</t>
        </is>
      </c>
      <c r="E46" s="6" t="inlineStr">
        <is>
          <t>11-50</t>
        </is>
      </c>
      <c r="F46" s="6" t="n">
        <v>7</v>
      </c>
      <c r="G46" s="6" t="n">
        <v>55.1</v>
      </c>
      <c r="H46" s="6" t="inlineStr">
        <is>
          <t>Social Media</t>
        </is>
      </c>
      <c r="I46" s="6" t="inlineStr">
        <is>
          <t>Latin America</t>
        </is>
      </c>
      <c r="J46" s="7" t="n">
        <v>45910</v>
      </c>
      <c r="K46" s="6" t="inlineStr">
        <is>
          <t>No</t>
        </is>
      </c>
      <c r="L46" s="7" t="n"/>
      <c r="M46" s="6" t="n"/>
      <c r="N46" s="6" t="n">
        <v>12</v>
      </c>
      <c r="O46" s="6" t="n">
        <v>4</v>
      </c>
      <c r="P46" s="6" t="n">
        <v>67</v>
      </c>
      <c r="Q46" s="6" t="inlineStr">
        <is>
          <t>No</t>
        </is>
      </c>
      <c r="R46" s="6">
        <f>IF(K46="Yes",1,0)</f>
        <v/>
      </c>
      <c r="S46" s="6">
        <f>IF(K46="No",1,0)</f>
        <v/>
      </c>
      <c r="T46" s="6">
        <f>ROUND((IF(L46="",'Subscriptions'!$T$2,L46)-J46)/30.44,1)</f>
        <v/>
      </c>
      <c r="U46" s="6">
        <f>IF(AND(P46&lt;'Subscriptions'!$T$4,O46&lt;='Subscriptions'!$T$5),1,0)</f>
        <v/>
      </c>
    </row>
    <row r="47">
      <c r="A47" s="6" t="inlineStr">
        <is>
          <t>CUST-0046</t>
        </is>
      </c>
      <c r="B47" s="6" t="inlineStr">
        <is>
          <t>Professional</t>
        </is>
      </c>
      <c r="C47" s="6" t="inlineStr">
        <is>
          <t>Monthly</t>
        </is>
      </c>
      <c r="D47" s="6" t="inlineStr">
        <is>
          <t>Finance</t>
        </is>
      </c>
      <c r="E47" s="6" t="inlineStr">
        <is>
          <t>1-10</t>
        </is>
      </c>
      <c r="F47" s="6" t="n">
        <v>4</v>
      </c>
      <c r="G47" s="6" t="n">
        <v>114.55</v>
      </c>
      <c r="H47" s="6" t="inlineStr">
        <is>
          <t>Paid Ads</t>
        </is>
      </c>
      <c r="I47" s="6" t="inlineStr">
        <is>
          <t>North America</t>
        </is>
      </c>
      <c r="J47" s="7" t="n">
        <v>45114</v>
      </c>
      <c r="K47" s="6" t="inlineStr">
        <is>
          <t>Yes</t>
        </is>
      </c>
      <c r="L47" s="7" t="n">
        <v>45350</v>
      </c>
      <c r="M47" s="6" t="inlineStr">
        <is>
          <t>Missing Features</t>
        </is>
      </c>
      <c r="N47" s="6" t="n">
        <v>1</v>
      </c>
      <c r="O47" s="6" t="n">
        <v>6</v>
      </c>
      <c r="P47" s="6" t="n">
        <v>42</v>
      </c>
      <c r="Q47" s="6" t="inlineStr">
        <is>
          <t>No</t>
        </is>
      </c>
      <c r="R47" s="6">
        <f>IF(K47="Yes",1,0)</f>
        <v/>
      </c>
      <c r="S47" s="6">
        <f>IF(K47="No",1,0)</f>
        <v/>
      </c>
      <c r="T47" s="6">
        <f>ROUND((IF(L47="",'Subscriptions'!$T$2,L47)-J47)/30.44,1)</f>
        <v/>
      </c>
      <c r="U47" s="6">
        <f>IF(AND(P47&lt;'Subscriptions'!$T$4,O47&lt;='Subscriptions'!$T$5),1,0)</f>
        <v/>
      </c>
    </row>
    <row r="48">
      <c r="A48" s="6" t="inlineStr">
        <is>
          <t>CUST-0047</t>
        </is>
      </c>
      <c r="B48" s="6" t="inlineStr">
        <is>
          <t>Business</t>
        </is>
      </c>
      <c r="C48" s="6" t="inlineStr">
        <is>
          <t>Monthly</t>
        </is>
      </c>
      <c r="D48" s="6" t="inlineStr">
        <is>
          <t>Media</t>
        </is>
      </c>
      <c r="E48" s="6" t="inlineStr">
        <is>
          <t>1-10</t>
        </is>
      </c>
      <c r="F48" s="6" t="n">
        <v>5</v>
      </c>
      <c r="G48" s="6" t="n">
        <v>318.4</v>
      </c>
      <c r="H48" s="6" t="inlineStr">
        <is>
          <t>Partner</t>
        </is>
      </c>
      <c r="I48" s="6" t="inlineStr">
        <is>
          <t>North America</t>
        </is>
      </c>
      <c r="J48" s="7" t="n">
        <v>44943</v>
      </c>
      <c r="K48" s="6" t="inlineStr">
        <is>
          <t>Yes</t>
        </is>
      </c>
      <c r="L48" s="7" t="n">
        <v>45821</v>
      </c>
      <c r="M48" s="6" t="inlineStr">
        <is>
          <t>No Longer Needed</t>
        </is>
      </c>
      <c r="N48" s="6" t="n">
        <v>15</v>
      </c>
      <c r="O48" s="6" t="n">
        <v>4</v>
      </c>
      <c r="P48" s="6" t="n">
        <v>46</v>
      </c>
      <c r="Q48" s="6" t="inlineStr">
        <is>
          <t>No</t>
        </is>
      </c>
      <c r="R48" s="6">
        <f>IF(K48="Yes",1,0)</f>
        <v/>
      </c>
      <c r="S48" s="6">
        <f>IF(K48="No",1,0)</f>
        <v/>
      </c>
      <c r="T48" s="6">
        <f>ROUND((IF(L48="",'Subscriptions'!$T$2,L48)-J48)/30.44,1)</f>
        <v/>
      </c>
      <c r="U48" s="6">
        <f>IF(AND(P48&lt;'Subscriptions'!$T$4,O48&lt;='Subscriptions'!$T$5),1,0)</f>
        <v/>
      </c>
    </row>
    <row r="49">
      <c r="A49" s="6" t="inlineStr">
        <is>
          <t>CUST-0048</t>
        </is>
      </c>
      <c r="B49" s="6" t="inlineStr">
        <is>
          <t>Business</t>
        </is>
      </c>
      <c r="C49" s="6" t="inlineStr">
        <is>
          <t>Annual</t>
        </is>
      </c>
      <c r="D49" s="6" t="inlineStr">
        <is>
          <t>Education</t>
        </is>
      </c>
      <c r="E49" s="6" t="inlineStr">
        <is>
          <t>1-10</t>
        </is>
      </c>
      <c r="F49" s="6" t="n">
        <v>4</v>
      </c>
      <c r="G49" s="6" t="n">
        <v>245.27</v>
      </c>
      <c r="H49" s="6" t="inlineStr">
        <is>
          <t>Referral</t>
        </is>
      </c>
      <c r="I49" s="6" t="inlineStr">
        <is>
          <t>Europe</t>
        </is>
      </c>
      <c r="J49" s="7" t="n">
        <v>44669</v>
      </c>
      <c r="K49" s="6" t="inlineStr">
        <is>
          <t>Yes</t>
        </is>
      </c>
      <c r="L49" s="7" t="n">
        <v>44754</v>
      </c>
      <c r="M49" s="6" t="inlineStr">
        <is>
          <t>Budget Cuts</t>
        </is>
      </c>
      <c r="N49" s="6" t="n">
        <v>4</v>
      </c>
      <c r="O49" s="6" t="n">
        <v>5</v>
      </c>
      <c r="P49" s="6" t="n">
        <v>16</v>
      </c>
      <c r="Q49" s="6" t="inlineStr">
        <is>
          <t>No</t>
        </is>
      </c>
      <c r="R49" s="6">
        <f>IF(K49="Yes",1,0)</f>
        <v/>
      </c>
      <c r="S49" s="6">
        <f>IF(K49="No",1,0)</f>
        <v/>
      </c>
      <c r="T49" s="6">
        <f>ROUND((IF(L49="",'Subscriptions'!$T$2,L49)-J49)/30.44,1)</f>
        <v/>
      </c>
      <c r="U49" s="6">
        <f>IF(AND(P49&lt;'Subscriptions'!$T$4,O49&lt;='Subscriptions'!$T$5),1,0)</f>
        <v/>
      </c>
    </row>
    <row r="50">
      <c r="A50" s="6" t="inlineStr">
        <is>
          <t>CUST-0049</t>
        </is>
      </c>
      <c r="B50" s="6" t="inlineStr">
        <is>
          <t>Professional</t>
        </is>
      </c>
      <c r="C50" s="6" t="inlineStr">
        <is>
          <t>Monthly</t>
        </is>
      </c>
      <c r="D50" s="6" t="inlineStr">
        <is>
          <t>Real Estate</t>
        </is>
      </c>
      <c r="E50" s="6" t="inlineStr">
        <is>
          <t>51-200</t>
        </is>
      </c>
      <c r="F50" s="6" t="n">
        <v>36</v>
      </c>
      <c r="G50" s="6" t="n">
        <v>493.75</v>
      </c>
      <c r="H50" s="6" t="inlineStr">
        <is>
          <t>Partner</t>
        </is>
      </c>
      <c r="I50" s="6" t="inlineStr">
        <is>
          <t>Asia Pacific</t>
        </is>
      </c>
      <c r="J50" s="7" t="n">
        <v>44699</v>
      </c>
      <c r="K50" s="6" t="inlineStr">
        <is>
          <t>Yes</t>
        </is>
      </c>
      <c r="L50" s="7" t="n">
        <v>44800</v>
      </c>
      <c r="M50" s="6" t="inlineStr">
        <is>
          <t>Poor Support</t>
        </is>
      </c>
      <c r="N50" s="6" t="n">
        <v>1</v>
      </c>
      <c r="O50" s="6" t="n">
        <v>6</v>
      </c>
      <c r="P50" s="6" t="n">
        <v>26</v>
      </c>
      <c r="Q50" s="6" t="inlineStr">
        <is>
          <t>No</t>
        </is>
      </c>
      <c r="R50" s="6">
        <f>IF(K50="Yes",1,0)</f>
        <v/>
      </c>
      <c r="S50" s="6">
        <f>IF(K50="No",1,0)</f>
        <v/>
      </c>
      <c r="T50" s="6">
        <f>ROUND((IF(L50="",'Subscriptions'!$T$2,L50)-J50)/30.44,1)</f>
        <v/>
      </c>
      <c r="U50" s="6">
        <f>IF(AND(P50&lt;'Subscriptions'!$T$4,O50&lt;='Subscriptions'!$T$5),1,0)</f>
        <v/>
      </c>
    </row>
    <row r="51">
      <c r="A51" s="6" t="inlineStr">
        <is>
          <t>CUST-0050</t>
        </is>
      </c>
      <c r="B51" s="6" t="inlineStr">
        <is>
          <t>Starter</t>
        </is>
      </c>
      <c r="C51" s="6" t="inlineStr">
        <is>
          <t>Annual</t>
        </is>
      </c>
      <c r="D51" s="6" t="inlineStr">
        <is>
          <t>Healthcare</t>
        </is>
      </c>
      <c r="E51" s="6" t="inlineStr">
        <is>
          <t>1-10</t>
        </is>
      </c>
      <c r="F51" s="6" t="n">
        <v>7</v>
      </c>
      <c r="G51" s="6" t="n">
        <v>46.83</v>
      </c>
      <c r="H51" s="6" t="inlineStr">
        <is>
          <t>Organic Search</t>
        </is>
      </c>
      <c r="I51" s="6" t="inlineStr">
        <is>
          <t>North America</t>
        </is>
      </c>
      <c r="J51" s="7" t="n">
        <v>44734</v>
      </c>
      <c r="K51" s="6" t="inlineStr">
        <is>
          <t>Yes</t>
        </is>
      </c>
      <c r="L51" s="7" t="n">
        <v>45473</v>
      </c>
      <c r="M51" s="6" t="inlineStr">
        <is>
          <t>Price Too High</t>
        </is>
      </c>
      <c r="N51" s="6" t="n">
        <v>2</v>
      </c>
      <c r="O51" s="6" t="n">
        <v>3</v>
      </c>
      <c r="P51" s="6" t="n">
        <v>38</v>
      </c>
      <c r="Q51" s="6" t="inlineStr">
        <is>
          <t>No</t>
        </is>
      </c>
      <c r="R51" s="6">
        <f>IF(K51="Yes",1,0)</f>
        <v/>
      </c>
      <c r="S51" s="6">
        <f>IF(K51="No",1,0)</f>
        <v/>
      </c>
      <c r="T51" s="6">
        <f>ROUND((IF(L51="",'Subscriptions'!$T$2,L51)-J51)/30.44,1)</f>
        <v/>
      </c>
      <c r="U51" s="6">
        <f>IF(AND(P51&lt;'Subscriptions'!$T$4,O51&lt;='Subscriptions'!$T$5),1,0)</f>
        <v/>
      </c>
    </row>
    <row r="52">
      <c r="A52" s="6" t="inlineStr">
        <is>
          <t>CUST-0051</t>
        </is>
      </c>
      <c r="B52" s="6" t="inlineStr">
        <is>
          <t>Professional</t>
        </is>
      </c>
      <c r="C52" s="6" t="inlineStr">
        <is>
          <t>Monthly</t>
        </is>
      </c>
      <c r="D52" s="6" t="inlineStr">
        <is>
          <t>Consulting</t>
        </is>
      </c>
      <c r="E52" s="6" t="inlineStr">
        <is>
          <t>51-200</t>
        </is>
      </c>
      <c r="F52" s="6" t="n">
        <v>58</v>
      </c>
      <c r="G52" s="6" t="n">
        <v>754.45</v>
      </c>
      <c r="H52" s="6" t="inlineStr">
        <is>
          <t>Partner</t>
        </is>
      </c>
      <c r="I52" s="6" t="inlineStr">
        <is>
          <t>Europe</t>
        </is>
      </c>
      <c r="J52" s="7" t="n">
        <v>44922</v>
      </c>
      <c r="K52" s="6" t="inlineStr">
        <is>
          <t>Yes</t>
        </is>
      </c>
      <c r="L52" s="7" t="n">
        <v>45030</v>
      </c>
      <c r="M52" s="6" t="inlineStr">
        <is>
          <t>Price Too High</t>
        </is>
      </c>
      <c r="N52" s="6" t="n">
        <v>10</v>
      </c>
      <c r="O52" s="6" t="n">
        <v>3</v>
      </c>
      <c r="P52" s="6" t="n">
        <v>29</v>
      </c>
      <c r="Q52" s="6" t="inlineStr">
        <is>
          <t>No</t>
        </is>
      </c>
      <c r="R52" s="6">
        <f>IF(K52="Yes",1,0)</f>
        <v/>
      </c>
      <c r="S52" s="6">
        <f>IF(K52="No",1,0)</f>
        <v/>
      </c>
      <c r="T52" s="6">
        <f>ROUND((IF(L52="",'Subscriptions'!$T$2,L52)-J52)/30.44,1)</f>
        <v/>
      </c>
      <c r="U52" s="6">
        <f>IF(AND(P52&lt;'Subscriptions'!$T$4,O52&lt;='Subscriptions'!$T$5),1,0)</f>
        <v/>
      </c>
    </row>
    <row r="53">
      <c r="A53" s="6" t="inlineStr">
        <is>
          <t>CUST-0052</t>
        </is>
      </c>
      <c r="B53" s="6" t="inlineStr">
        <is>
          <t>Starter</t>
        </is>
      </c>
      <c r="C53" s="6" t="inlineStr">
        <is>
          <t>Monthly</t>
        </is>
      </c>
      <c r="D53" s="6" t="inlineStr">
        <is>
          <t>Healthcare</t>
        </is>
      </c>
      <c r="E53" s="6" t="inlineStr">
        <is>
          <t>201-500</t>
        </is>
      </c>
      <c r="F53" s="6" t="n">
        <v>138</v>
      </c>
      <c r="G53" s="6" t="n">
        <v>624.95</v>
      </c>
      <c r="H53" s="6" t="inlineStr">
        <is>
          <t>Referral</t>
        </is>
      </c>
      <c r="I53" s="6" t="inlineStr">
        <is>
          <t>North America</t>
        </is>
      </c>
      <c r="J53" s="7" t="n">
        <v>45732</v>
      </c>
      <c r="K53" s="6" t="inlineStr">
        <is>
          <t>Yes</t>
        </is>
      </c>
      <c r="L53" s="7" t="n">
        <v>45853</v>
      </c>
      <c r="M53" s="6" t="inlineStr">
        <is>
          <t>Budget Cuts</t>
        </is>
      </c>
      <c r="N53" s="6" t="n">
        <v>0</v>
      </c>
      <c r="O53" s="6" t="n">
        <v>1</v>
      </c>
      <c r="P53" s="6" t="n">
        <v>38</v>
      </c>
      <c r="Q53" s="6" t="inlineStr">
        <is>
          <t>No</t>
        </is>
      </c>
      <c r="R53" s="6">
        <f>IF(K53="Yes",1,0)</f>
        <v/>
      </c>
      <c r="S53" s="6">
        <f>IF(K53="No",1,0)</f>
        <v/>
      </c>
      <c r="T53" s="6">
        <f>ROUND((IF(L53="",'Subscriptions'!$T$2,L53)-J53)/30.44,1)</f>
        <v/>
      </c>
      <c r="U53" s="6">
        <f>IF(AND(P53&lt;'Subscriptions'!$T$4,O53&lt;='Subscriptions'!$T$5),1,0)</f>
        <v/>
      </c>
    </row>
    <row r="54">
      <c r="A54" s="6" t="inlineStr">
        <is>
          <t>CUST-0053</t>
        </is>
      </c>
      <c r="B54" s="6" t="inlineStr">
        <is>
          <t>Starter</t>
        </is>
      </c>
      <c r="C54" s="6" t="inlineStr">
        <is>
          <t>Monthly</t>
        </is>
      </c>
      <c r="D54" s="6" t="inlineStr">
        <is>
          <t>Manufacturing</t>
        </is>
      </c>
      <c r="E54" s="6" t="inlineStr">
        <is>
          <t>1-10</t>
        </is>
      </c>
      <c r="F54" s="6" t="n">
        <v>4</v>
      </c>
      <c r="G54" s="6" t="n">
        <v>42.05</v>
      </c>
      <c r="H54" s="6" t="inlineStr">
        <is>
          <t>Organic Search</t>
        </is>
      </c>
      <c r="I54" s="6" t="inlineStr">
        <is>
          <t>North America</t>
        </is>
      </c>
      <c r="J54" s="7" t="n">
        <v>45750</v>
      </c>
      <c r="K54" s="6" t="inlineStr">
        <is>
          <t>Yes</t>
        </is>
      </c>
      <c r="L54" s="7" t="n">
        <v>45842</v>
      </c>
      <c r="M54" s="6" t="inlineStr">
        <is>
          <t>Price Too High</t>
        </is>
      </c>
      <c r="N54" s="6" t="n">
        <v>1</v>
      </c>
      <c r="O54" s="6" t="n">
        <v>2</v>
      </c>
      <c r="P54" s="6" t="n">
        <v>43</v>
      </c>
      <c r="Q54" s="6" t="inlineStr">
        <is>
          <t>No</t>
        </is>
      </c>
      <c r="R54" s="6">
        <f>IF(K54="Yes",1,0)</f>
        <v/>
      </c>
      <c r="S54" s="6">
        <f>IF(K54="No",1,0)</f>
        <v/>
      </c>
      <c r="T54" s="6">
        <f>ROUND((IF(L54="",'Subscriptions'!$T$2,L54)-J54)/30.44,1)</f>
        <v/>
      </c>
      <c r="U54" s="6">
        <f>IF(AND(P54&lt;'Subscriptions'!$T$4,O54&lt;='Subscriptions'!$T$5),1,0)</f>
        <v/>
      </c>
    </row>
    <row r="55">
      <c r="A55" s="6" t="inlineStr">
        <is>
          <t>CUST-0054</t>
        </is>
      </c>
      <c r="B55" s="6" t="inlineStr">
        <is>
          <t>Professional</t>
        </is>
      </c>
      <c r="C55" s="6" t="inlineStr">
        <is>
          <t>Annual</t>
        </is>
      </c>
      <c r="D55" s="6" t="inlineStr">
        <is>
          <t>Healthcare</t>
        </is>
      </c>
      <c r="E55" s="6" t="inlineStr">
        <is>
          <t>201-500</t>
        </is>
      </c>
      <c r="F55" s="6" t="n">
        <v>82</v>
      </c>
      <c r="G55" s="6" t="n">
        <v>883.02</v>
      </c>
      <c r="H55" s="6" t="inlineStr">
        <is>
          <t>Social Media</t>
        </is>
      </c>
      <c r="I55" s="6" t="inlineStr">
        <is>
          <t>North America</t>
        </is>
      </c>
      <c r="J55" s="7" t="n">
        <v>45466</v>
      </c>
      <c r="K55" s="6" t="inlineStr">
        <is>
          <t>No</t>
        </is>
      </c>
      <c r="L55" s="7" t="n"/>
      <c r="M55" s="6" t="n"/>
      <c r="N55" s="6" t="n">
        <v>4</v>
      </c>
      <c r="O55" s="6" t="n">
        <v>8</v>
      </c>
      <c r="P55" s="6" t="n">
        <v>81</v>
      </c>
      <c r="Q55" s="6" t="inlineStr">
        <is>
          <t>No</t>
        </is>
      </c>
      <c r="R55" s="6">
        <f>IF(K55="Yes",1,0)</f>
        <v/>
      </c>
      <c r="S55" s="6">
        <f>IF(K55="No",1,0)</f>
        <v/>
      </c>
      <c r="T55" s="6">
        <f>ROUND((IF(L55="",'Subscriptions'!$T$2,L55)-J55)/30.44,1)</f>
        <v/>
      </c>
      <c r="U55" s="6">
        <f>IF(AND(P55&lt;'Subscriptions'!$T$4,O55&lt;='Subscriptions'!$T$5),1,0)</f>
        <v/>
      </c>
    </row>
    <row r="56">
      <c r="A56" s="6" t="inlineStr">
        <is>
          <t>CUST-0055</t>
        </is>
      </c>
      <c r="B56" s="6" t="inlineStr">
        <is>
          <t>Business</t>
        </is>
      </c>
      <c r="C56" s="6" t="inlineStr">
        <is>
          <t>Monthly</t>
        </is>
      </c>
      <c r="D56" s="6" t="inlineStr">
        <is>
          <t>Manufacturing</t>
        </is>
      </c>
      <c r="E56" s="6" t="inlineStr">
        <is>
          <t>1-10</t>
        </is>
      </c>
      <c r="F56" s="6" t="n">
        <v>7</v>
      </c>
      <c r="G56" s="6" t="n">
        <v>378.1</v>
      </c>
      <c r="H56" s="6" t="inlineStr">
        <is>
          <t>Organic Search</t>
        </is>
      </c>
      <c r="I56" s="6" t="inlineStr">
        <is>
          <t>North America</t>
        </is>
      </c>
      <c r="J56" s="7" t="n">
        <v>44664</v>
      </c>
      <c r="K56" s="6" t="inlineStr">
        <is>
          <t>Yes</t>
        </is>
      </c>
      <c r="L56" s="7" t="n">
        <v>45551</v>
      </c>
      <c r="M56" s="6" t="inlineStr">
        <is>
          <t>Missing Features</t>
        </is>
      </c>
      <c r="N56" s="6" t="n">
        <v>6</v>
      </c>
      <c r="O56" s="6" t="n">
        <v>2</v>
      </c>
      <c r="P56" s="6" t="n">
        <v>21</v>
      </c>
      <c r="Q56" s="6" t="inlineStr">
        <is>
          <t>No</t>
        </is>
      </c>
      <c r="R56" s="6">
        <f>IF(K56="Yes",1,0)</f>
        <v/>
      </c>
      <c r="S56" s="6">
        <f>IF(K56="No",1,0)</f>
        <v/>
      </c>
      <c r="T56" s="6">
        <f>ROUND((IF(L56="",'Subscriptions'!$T$2,L56)-J56)/30.44,1)</f>
        <v/>
      </c>
      <c r="U56" s="6">
        <f>IF(AND(P56&lt;'Subscriptions'!$T$4,O56&lt;='Subscriptions'!$T$5),1,0)</f>
        <v/>
      </c>
    </row>
    <row r="57">
      <c r="A57" s="6" t="inlineStr">
        <is>
          <t>CUST-0056</t>
        </is>
      </c>
      <c r="B57" s="6" t="inlineStr">
        <is>
          <t>Business</t>
        </is>
      </c>
      <c r="C57" s="6" t="inlineStr">
        <is>
          <t>Monthly</t>
        </is>
      </c>
      <c r="D57" s="6" t="inlineStr">
        <is>
          <t>Technology</t>
        </is>
      </c>
      <c r="E57" s="6" t="inlineStr">
        <is>
          <t>11-50</t>
        </is>
      </c>
      <c r="F57" s="6" t="n">
        <v>14</v>
      </c>
      <c r="G57" s="6" t="n">
        <v>587.05</v>
      </c>
      <c r="H57" s="6" t="inlineStr">
        <is>
          <t>Paid Ads</t>
        </is>
      </c>
      <c r="I57" s="6" t="inlineStr">
        <is>
          <t>North America</t>
        </is>
      </c>
      <c r="J57" s="7" t="n">
        <v>45649</v>
      </c>
      <c r="K57" s="6" t="inlineStr">
        <is>
          <t>Yes</t>
        </is>
      </c>
      <c r="L57" s="7" t="n">
        <v>45976</v>
      </c>
      <c r="M57" s="6" t="inlineStr">
        <is>
          <t>Missing Features</t>
        </is>
      </c>
      <c r="N57" s="6" t="n">
        <v>3</v>
      </c>
      <c r="O57" s="6" t="n">
        <v>2</v>
      </c>
      <c r="P57" s="6" t="n">
        <v>37</v>
      </c>
      <c r="Q57" s="6" t="inlineStr">
        <is>
          <t>No</t>
        </is>
      </c>
      <c r="R57" s="6">
        <f>IF(K57="Yes",1,0)</f>
        <v/>
      </c>
      <c r="S57" s="6">
        <f>IF(K57="No",1,0)</f>
        <v/>
      </c>
      <c r="T57" s="6">
        <f>ROUND((IF(L57="",'Subscriptions'!$T$2,L57)-J57)/30.44,1)</f>
        <v/>
      </c>
      <c r="U57" s="6">
        <f>IF(AND(P57&lt;'Subscriptions'!$T$4,O57&lt;='Subscriptions'!$T$5),1,0)</f>
        <v/>
      </c>
    </row>
    <row r="58">
      <c r="A58" s="6" t="inlineStr">
        <is>
          <t>CUST-0057</t>
        </is>
      </c>
      <c r="B58" s="6" t="inlineStr">
        <is>
          <t>Professional</t>
        </is>
      </c>
      <c r="C58" s="6" t="inlineStr">
        <is>
          <t>Annual</t>
        </is>
      </c>
      <c r="D58" s="6" t="inlineStr">
        <is>
          <t>Healthcare</t>
        </is>
      </c>
      <c r="E58" s="6" t="inlineStr">
        <is>
          <t>11-50</t>
        </is>
      </c>
      <c r="F58" s="6" t="n">
        <v>34</v>
      </c>
      <c r="G58" s="6" t="n">
        <v>399.54</v>
      </c>
      <c r="H58" s="6" t="inlineStr">
        <is>
          <t>Referral</t>
        </is>
      </c>
      <c r="I58" s="6" t="inlineStr">
        <is>
          <t>North America</t>
        </is>
      </c>
      <c r="J58" s="7" t="n">
        <v>45485</v>
      </c>
      <c r="K58" s="6" t="inlineStr">
        <is>
          <t>Yes</t>
        </is>
      </c>
      <c r="L58" s="7" t="n">
        <v>45874</v>
      </c>
      <c r="M58" s="6" t="inlineStr">
        <is>
          <t>No Longer Needed</t>
        </is>
      </c>
      <c r="N58" s="6" t="n">
        <v>1</v>
      </c>
      <c r="O58" s="6" t="n">
        <v>1</v>
      </c>
      <c r="P58" s="6" t="n">
        <v>10</v>
      </c>
      <c r="Q58" s="6" t="inlineStr">
        <is>
          <t>No</t>
        </is>
      </c>
      <c r="R58" s="6">
        <f>IF(K58="Yes",1,0)</f>
        <v/>
      </c>
      <c r="S58" s="6">
        <f>IF(K58="No",1,0)</f>
        <v/>
      </c>
      <c r="T58" s="6">
        <f>ROUND((IF(L58="",'Subscriptions'!$T$2,L58)-J58)/30.44,1)</f>
        <v/>
      </c>
      <c r="U58" s="6">
        <f>IF(AND(P58&lt;'Subscriptions'!$T$4,O58&lt;='Subscriptions'!$T$5),1,0)</f>
        <v/>
      </c>
    </row>
    <row r="59">
      <c r="A59" s="6" t="inlineStr">
        <is>
          <t>CUST-0058</t>
        </is>
      </c>
      <c r="B59" s="6" t="inlineStr">
        <is>
          <t>Starter</t>
        </is>
      </c>
      <c r="C59" s="6" t="inlineStr">
        <is>
          <t>Monthly</t>
        </is>
      </c>
      <c r="D59" s="6" t="inlineStr">
        <is>
          <t>Real Estate</t>
        </is>
      </c>
      <c r="E59" s="6" t="inlineStr">
        <is>
          <t>201-500</t>
        </is>
      </c>
      <c r="F59" s="6" t="n">
        <v>48</v>
      </c>
      <c r="G59" s="6" t="n">
        <v>233.45</v>
      </c>
      <c r="H59" s="6" t="inlineStr">
        <is>
          <t>Referral</t>
        </is>
      </c>
      <c r="I59" s="6" t="inlineStr">
        <is>
          <t>Europe</t>
        </is>
      </c>
      <c r="J59" s="7" t="n">
        <v>44814</v>
      </c>
      <c r="K59" s="6" t="inlineStr">
        <is>
          <t>Yes</t>
        </is>
      </c>
      <c r="L59" s="7" t="n">
        <v>45002</v>
      </c>
      <c r="M59" s="6" t="inlineStr">
        <is>
          <t>Price Too High</t>
        </is>
      </c>
      <c r="N59" s="6" t="n">
        <v>2</v>
      </c>
      <c r="O59" s="6" t="n">
        <v>1</v>
      </c>
      <c r="P59" s="6" t="n">
        <v>12</v>
      </c>
      <c r="Q59" s="6" t="inlineStr">
        <is>
          <t>No</t>
        </is>
      </c>
      <c r="R59" s="6">
        <f>IF(K59="Yes",1,0)</f>
        <v/>
      </c>
      <c r="S59" s="6">
        <f>IF(K59="No",1,0)</f>
        <v/>
      </c>
      <c r="T59" s="6">
        <f>ROUND((IF(L59="",'Subscriptions'!$T$2,L59)-J59)/30.44,1)</f>
        <v/>
      </c>
      <c r="U59" s="6">
        <f>IF(AND(P59&lt;'Subscriptions'!$T$4,O59&lt;='Subscriptions'!$T$5),1,0)</f>
        <v/>
      </c>
    </row>
    <row r="60">
      <c r="A60" s="6" t="inlineStr">
        <is>
          <t>CUST-0059</t>
        </is>
      </c>
      <c r="B60" s="6" t="inlineStr">
        <is>
          <t>Professional</t>
        </is>
      </c>
      <c r="C60" s="6" t="inlineStr">
        <is>
          <t>Annual</t>
        </is>
      </c>
      <c r="D60" s="6" t="inlineStr">
        <is>
          <t>Healthcare</t>
        </is>
      </c>
      <c r="E60" s="6" t="inlineStr">
        <is>
          <t>11-50</t>
        </is>
      </c>
      <c r="F60" s="6" t="n">
        <v>28</v>
      </c>
      <c r="G60" s="6" t="n">
        <v>339.11</v>
      </c>
      <c r="H60" s="6" t="inlineStr">
        <is>
          <t>Social Media</t>
        </is>
      </c>
      <c r="I60" s="6" t="inlineStr">
        <is>
          <t>North America</t>
        </is>
      </c>
      <c r="J60" s="7" t="n">
        <v>45290</v>
      </c>
      <c r="K60" s="6" t="inlineStr">
        <is>
          <t>Yes</t>
        </is>
      </c>
      <c r="L60" s="7" t="n">
        <v>45575</v>
      </c>
      <c r="M60" s="6" t="inlineStr">
        <is>
          <t>Missing Features</t>
        </is>
      </c>
      <c r="N60" s="6" t="n">
        <v>5</v>
      </c>
      <c r="O60" s="6" t="n">
        <v>1</v>
      </c>
      <c r="P60" s="6" t="n">
        <v>13</v>
      </c>
      <c r="Q60" s="6" t="inlineStr">
        <is>
          <t>No</t>
        </is>
      </c>
      <c r="R60" s="6">
        <f>IF(K60="Yes",1,0)</f>
        <v/>
      </c>
      <c r="S60" s="6">
        <f>IF(K60="No",1,0)</f>
        <v/>
      </c>
      <c r="T60" s="6">
        <f>ROUND((IF(L60="",'Subscriptions'!$T$2,L60)-J60)/30.44,1)</f>
        <v/>
      </c>
      <c r="U60" s="6">
        <f>IF(AND(P60&lt;'Subscriptions'!$T$4,O60&lt;='Subscriptions'!$T$5),1,0)</f>
        <v/>
      </c>
    </row>
    <row r="61">
      <c r="A61" s="6" t="inlineStr">
        <is>
          <t>CUST-0060</t>
        </is>
      </c>
      <c r="B61" s="6" t="inlineStr">
        <is>
          <t>Professional</t>
        </is>
      </c>
      <c r="C61" s="6" t="inlineStr">
        <is>
          <t>Monthly</t>
        </is>
      </c>
      <c r="D61" s="6" t="inlineStr">
        <is>
          <t>Finance</t>
        </is>
      </c>
      <c r="E61" s="6" t="inlineStr">
        <is>
          <t>51-200</t>
        </is>
      </c>
      <c r="F61" s="6" t="n">
        <v>59</v>
      </c>
      <c r="G61" s="6" t="n">
        <v>766.3</v>
      </c>
      <c r="H61" s="6" t="inlineStr">
        <is>
          <t>Partner</t>
        </is>
      </c>
      <c r="I61" s="6" t="inlineStr">
        <is>
          <t>Asia Pacific</t>
        </is>
      </c>
      <c r="J61" s="7" t="n">
        <v>45503</v>
      </c>
      <c r="K61" s="6" t="inlineStr">
        <is>
          <t>Yes</t>
        </is>
      </c>
      <c r="L61" s="7" t="n">
        <v>45542</v>
      </c>
      <c r="M61" s="6" t="inlineStr">
        <is>
          <t>Switched Competitor</t>
        </is>
      </c>
      <c r="N61" s="6" t="n">
        <v>12</v>
      </c>
      <c r="O61" s="6" t="n">
        <v>1</v>
      </c>
      <c r="P61" s="6" t="n">
        <v>45</v>
      </c>
      <c r="Q61" s="6" t="inlineStr">
        <is>
          <t>No</t>
        </is>
      </c>
      <c r="R61" s="6">
        <f>IF(K61="Yes",1,0)</f>
        <v/>
      </c>
      <c r="S61" s="6">
        <f>IF(K61="No",1,0)</f>
        <v/>
      </c>
      <c r="T61" s="6">
        <f>ROUND((IF(L61="",'Subscriptions'!$T$2,L61)-J61)/30.44,1)</f>
        <v/>
      </c>
      <c r="U61" s="6">
        <f>IF(AND(P61&lt;'Subscriptions'!$T$4,O61&lt;='Subscriptions'!$T$5),1,0)</f>
        <v/>
      </c>
    </row>
    <row r="62">
      <c r="A62" s="6" t="inlineStr">
        <is>
          <t>CUST-0061</t>
        </is>
      </c>
      <c r="B62" s="6" t="inlineStr">
        <is>
          <t>Business</t>
        </is>
      </c>
      <c r="C62" s="6" t="inlineStr">
        <is>
          <t>Monthly</t>
        </is>
      </c>
      <c r="D62" s="6" t="inlineStr">
        <is>
          <t>Legal</t>
        </is>
      </c>
      <c r="E62" s="6" t="inlineStr">
        <is>
          <t>51-200</t>
        </is>
      </c>
      <c r="F62" s="6" t="n">
        <v>53</v>
      </c>
      <c r="G62" s="6" t="n">
        <v>1751.2</v>
      </c>
      <c r="H62" s="6" t="inlineStr">
        <is>
          <t>Referral</t>
        </is>
      </c>
      <c r="I62" s="6" t="inlineStr">
        <is>
          <t>Europe</t>
        </is>
      </c>
      <c r="J62" s="7" t="n">
        <v>44645</v>
      </c>
      <c r="K62" s="6" t="inlineStr">
        <is>
          <t>Yes</t>
        </is>
      </c>
      <c r="L62" s="7" t="n">
        <v>45022</v>
      </c>
      <c r="M62" s="6" t="inlineStr">
        <is>
          <t>Switched Competitor</t>
        </is>
      </c>
      <c r="N62" s="6" t="n">
        <v>13</v>
      </c>
      <c r="O62" s="6" t="n">
        <v>5</v>
      </c>
      <c r="P62" s="6" t="n">
        <v>11</v>
      </c>
      <c r="Q62" s="6" t="inlineStr">
        <is>
          <t>No</t>
        </is>
      </c>
      <c r="R62" s="6">
        <f>IF(K62="Yes",1,0)</f>
        <v/>
      </c>
      <c r="S62" s="6">
        <f>IF(K62="No",1,0)</f>
        <v/>
      </c>
      <c r="T62" s="6">
        <f>ROUND((IF(L62="",'Subscriptions'!$T$2,L62)-J62)/30.44,1)</f>
        <v/>
      </c>
      <c r="U62" s="6">
        <f>IF(AND(P62&lt;'Subscriptions'!$T$4,O62&lt;='Subscriptions'!$T$5),1,0)</f>
        <v/>
      </c>
    </row>
    <row r="63">
      <c r="A63" s="6" t="inlineStr">
        <is>
          <t>CUST-0062</t>
        </is>
      </c>
      <c r="B63" s="6" t="inlineStr">
        <is>
          <t>Professional</t>
        </is>
      </c>
      <c r="C63" s="6" t="inlineStr">
        <is>
          <t>Monthly</t>
        </is>
      </c>
      <c r="D63" s="6" t="inlineStr">
        <is>
          <t>Finance</t>
        </is>
      </c>
      <c r="E63" s="6" t="inlineStr">
        <is>
          <t>11-50</t>
        </is>
      </c>
      <c r="F63" s="6" t="n">
        <v>21</v>
      </c>
      <c r="G63" s="6" t="n">
        <v>316</v>
      </c>
      <c r="H63" s="6" t="inlineStr">
        <is>
          <t>Paid Ads</t>
        </is>
      </c>
      <c r="I63" s="6" t="inlineStr">
        <is>
          <t>North America</t>
        </is>
      </c>
      <c r="J63" s="7" t="n">
        <v>44835</v>
      </c>
      <c r="K63" s="6" t="inlineStr">
        <is>
          <t>Yes</t>
        </is>
      </c>
      <c r="L63" s="7" t="n">
        <v>45395</v>
      </c>
      <c r="M63" s="6" t="inlineStr">
        <is>
          <t>Switched Competitor</t>
        </is>
      </c>
      <c r="N63" s="6" t="n">
        <v>1</v>
      </c>
      <c r="O63" s="6" t="n">
        <v>3</v>
      </c>
      <c r="P63" s="6" t="n">
        <v>16</v>
      </c>
      <c r="Q63" s="6" t="inlineStr">
        <is>
          <t>No</t>
        </is>
      </c>
      <c r="R63" s="6">
        <f>IF(K63="Yes",1,0)</f>
        <v/>
      </c>
      <c r="S63" s="6">
        <f>IF(K63="No",1,0)</f>
        <v/>
      </c>
      <c r="T63" s="6">
        <f>ROUND((IF(L63="",'Subscriptions'!$T$2,L63)-J63)/30.44,1)</f>
        <v/>
      </c>
      <c r="U63" s="6">
        <f>IF(AND(P63&lt;'Subscriptions'!$T$4,O63&lt;='Subscriptions'!$T$5),1,0)</f>
        <v/>
      </c>
    </row>
    <row r="64">
      <c r="A64" s="6" t="inlineStr">
        <is>
          <t>CUST-0063</t>
        </is>
      </c>
      <c r="B64" s="6" t="inlineStr">
        <is>
          <t>Enterprise</t>
        </is>
      </c>
      <c r="C64" s="6" t="inlineStr">
        <is>
          <t>Annual</t>
        </is>
      </c>
      <c r="D64" s="6" t="inlineStr">
        <is>
          <t>Retail</t>
        </is>
      </c>
      <c r="E64" s="6" t="inlineStr">
        <is>
          <t>11-50</t>
        </is>
      </c>
      <c r="F64" s="6" t="n">
        <v>18</v>
      </c>
      <c r="G64" s="6" t="n">
        <v>1505.73</v>
      </c>
      <c r="H64" s="6" t="inlineStr">
        <is>
          <t>Organic Search</t>
        </is>
      </c>
      <c r="I64" s="6" t="inlineStr">
        <is>
          <t>North America</t>
        </is>
      </c>
      <c r="J64" s="7" t="n">
        <v>45890</v>
      </c>
      <c r="K64" s="6" t="inlineStr">
        <is>
          <t>No</t>
        </is>
      </c>
      <c r="L64" s="7" t="n"/>
      <c r="M64" s="6" t="n"/>
      <c r="N64" s="6" t="n">
        <v>3</v>
      </c>
      <c r="O64" s="6" t="n">
        <v>7</v>
      </c>
      <c r="P64" s="6" t="n">
        <v>61</v>
      </c>
      <c r="Q64" s="6" t="inlineStr">
        <is>
          <t>No</t>
        </is>
      </c>
      <c r="R64" s="6">
        <f>IF(K64="Yes",1,0)</f>
        <v/>
      </c>
      <c r="S64" s="6">
        <f>IF(K64="No",1,0)</f>
        <v/>
      </c>
      <c r="T64" s="6">
        <f>ROUND((IF(L64="",'Subscriptions'!$T$2,L64)-J64)/30.44,1)</f>
        <v/>
      </c>
      <c r="U64" s="6">
        <f>IF(AND(P64&lt;'Subscriptions'!$T$4,O64&lt;='Subscriptions'!$T$5),1,0)</f>
        <v/>
      </c>
    </row>
    <row r="65">
      <c r="A65" s="6" t="inlineStr">
        <is>
          <t>CUST-0064</t>
        </is>
      </c>
      <c r="B65" s="6" t="inlineStr">
        <is>
          <t>Professional</t>
        </is>
      </c>
      <c r="C65" s="6" t="inlineStr">
        <is>
          <t>Annual</t>
        </is>
      </c>
      <c r="D65" s="6" t="inlineStr">
        <is>
          <t>Retail</t>
        </is>
      </c>
      <c r="E65" s="6" t="inlineStr">
        <is>
          <t>51-200</t>
        </is>
      </c>
      <c r="F65" s="6" t="n">
        <v>51</v>
      </c>
      <c r="G65" s="6" t="n">
        <v>570.77</v>
      </c>
      <c r="H65" s="6" t="inlineStr">
        <is>
          <t>Direct Sales</t>
        </is>
      </c>
      <c r="I65" s="6" t="inlineStr">
        <is>
          <t>Asia Pacific</t>
        </is>
      </c>
      <c r="J65" s="7" t="n">
        <v>44836</v>
      </c>
      <c r="K65" s="6" t="inlineStr">
        <is>
          <t>No</t>
        </is>
      </c>
      <c r="L65" s="7" t="n"/>
      <c r="M65" s="6" t="n"/>
      <c r="N65" s="6" t="n">
        <v>1</v>
      </c>
      <c r="O65" s="6" t="n">
        <v>10</v>
      </c>
      <c r="P65" s="6" t="n">
        <v>33</v>
      </c>
      <c r="Q65" s="6" t="inlineStr">
        <is>
          <t>No</t>
        </is>
      </c>
      <c r="R65" s="6">
        <f>IF(K65="Yes",1,0)</f>
        <v/>
      </c>
      <c r="S65" s="6">
        <f>IF(K65="No",1,0)</f>
        <v/>
      </c>
      <c r="T65" s="6">
        <f>ROUND((IF(L65="",'Subscriptions'!$T$2,L65)-J65)/30.44,1)</f>
        <v/>
      </c>
      <c r="U65" s="6">
        <f>IF(AND(P65&lt;'Subscriptions'!$T$4,O65&lt;='Subscriptions'!$T$5),1,0)</f>
        <v/>
      </c>
    </row>
    <row r="66">
      <c r="A66" s="6" t="inlineStr">
        <is>
          <t>CUST-0065</t>
        </is>
      </c>
      <c r="B66" s="6" t="inlineStr">
        <is>
          <t>Starter</t>
        </is>
      </c>
      <c r="C66" s="6" t="inlineStr">
        <is>
          <t>Monthly</t>
        </is>
      </c>
      <c r="D66" s="6" t="inlineStr">
        <is>
          <t>Manufacturing</t>
        </is>
      </c>
      <c r="E66" s="6" t="inlineStr">
        <is>
          <t>201-500</t>
        </is>
      </c>
      <c r="F66" s="6" t="n">
        <v>60</v>
      </c>
      <c r="G66" s="6" t="n">
        <v>285.65</v>
      </c>
      <c r="H66" s="6" t="inlineStr">
        <is>
          <t>Direct Sales</t>
        </is>
      </c>
      <c r="I66" s="6" t="inlineStr">
        <is>
          <t>North America</t>
        </is>
      </c>
      <c r="J66" s="7" t="n">
        <v>44877</v>
      </c>
      <c r="K66" s="6" t="inlineStr">
        <is>
          <t>Yes</t>
        </is>
      </c>
      <c r="L66" s="7" t="n">
        <v>44885</v>
      </c>
      <c r="M66" s="6" t="inlineStr">
        <is>
          <t>Poor Support</t>
        </is>
      </c>
      <c r="N66" s="6" t="n">
        <v>13</v>
      </c>
      <c r="O66" s="6" t="n">
        <v>3</v>
      </c>
      <c r="P66" s="6" t="n">
        <v>46</v>
      </c>
      <c r="Q66" s="6" t="inlineStr">
        <is>
          <t>No</t>
        </is>
      </c>
      <c r="R66" s="6">
        <f>IF(K66="Yes",1,0)</f>
        <v/>
      </c>
      <c r="S66" s="6">
        <f>IF(K66="No",1,0)</f>
        <v/>
      </c>
      <c r="T66" s="6">
        <f>ROUND((IF(L66="",'Subscriptions'!$T$2,L66)-J66)/30.44,1)</f>
        <v/>
      </c>
      <c r="U66" s="6">
        <f>IF(AND(P66&lt;'Subscriptions'!$T$4,O66&lt;='Subscriptions'!$T$5),1,0)</f>
        <v/>
      </c>
    </row>
    <row r="67">
      <c r="A67" s="6" t="inlineStr">
        <is>
          <t>CUST-0066</t>
        </is>
      </c>
      <c r="B67" s="6" t="inlineStr">
        <is>
          <t>Starter</t>
        </is>
      </c>
      <c r="C67" s="6" t="inlineStr">
        <is>
          <t>Annual</t>
        </is>
      </c>
      <c r="D67" s="6" t="inlineStr">
        <is>
          <t>Education</t>
        </is>
      </c>
      <c r="E67" s="6" t="inlineStr">
        <is>
          <t>51-200</t>
        </is>
      </c>
      <c r="F67" s="6" t="n">
        <v>55</v>
      </c>
      <c r="G67" s="6" t="n">
        <v>224.31</v>
      </c>
      <c r="H67" s="6" t="inlineStr">
        <is>
          <t>Organic Search</t>
        </is>
      </c>
      <c r="I67" s="6" t="inlineStr">
        <is>
          <t>North America</t>
        </is>
      </c>
      <c r="J67" s="7" t="n">
        <v>45471</v>
      </c>
      <c r="K67" s="6" t="inlineStr">
        <is>
          <t>Yes</t>
        </is>
      </c>
      <c r="L67" s="7" t="n">
        <v>45494</v>
      </c>
      <c r="M67" s="6" t="inlineStr">
        <is>
          <t>Poor Support</t>
        </is>
      </c>
      <c r="N67" s="6" t="n">
        <v>12</v>
      </c>
      <c r="O67" s="6" t="n">
        <v>1</v>
      </c>
      <c r="P67" s="6" t="n">
        <v>12</v>
      </c>
      <c r="Q67" s="6" t="inlineStr">
        <is>
          <t>No</t>
        </is>
      </c>
      <c r="R67" s="6">
        <f>IF(K67="Yes",1,0)</f>
        <v/>
      </c>
      <c r="S67" s="6">
        <f>IF(K67="No",1,0)</f>
        <v/>
      </c>
      <c r="T67" s="6">
        <f>ROUND((IF(L67="",'Subscriptions'!$T$2,L67)-J67)/30.44,1)</f>
        <v/>
      </c>
      <c r="U67" s="6">
        <f>IF(AND(P67&lt;'Subscriptions'!$T$4,O67&lt;='Subscriptions'!$T$5),1,0)</f>
        <v/>
      </c>
    </row>
    <row r="68">
      <c r="A68" s="6" t="inlineStr">
        <is>
          <t>CUST-0067</t>
        </is>
      </c>
      <c r="B68" s="6" t="inlineStr">
        <is>
          <t>Business</t>
        </is>
      </c>
      <c r="C68" s="6" t="inlineStr">
        <is>
          <t>Annual</t>
        </is>
      </c>
      <c r="D68" s="6" t="inlineStr">
        <is>
          <t>Media</t>
        </is>
      </c>
      <c r="E68" s="6" t="inlineStr">
        <is>
          <t>1-10</t>
        </is>
      </c>
      <c r="F68" s="6" t="n">
        <v>7</v>
      </c>
      <c r="G68" s="6" t="n">
        <v>321.38</v>
      </c>
      <c r="H68" s="6" t="inlineStr">
        <is>
          <t>Paid Ads</t>
        </is>
      </c>
      <c r="I68" s="6" t="inlineStr">
        <is>
          <t>North America</t>
        </is>
      </c>
      <c r="J68" s="7" t="n">
        <v>45197</v>
      </c>
      <c r="K68" s="6" t="inlineStr">
        <is>
          <t>No</t>
        </is>
      </c>
      <c r="L68" s="7" t="n"/>
      <c r="M68" s="6" t="n"/>
      <c r="N68" s="6" t="n">
        <v>4</v>
      </c>
      <c r="O68" s="6" t="n">
        <v>8</v>
      </c>
      <c r="P68" s="6" t="n">
        <v>30</v>
      </c>
      <c r="Q68" s="6" t="inlineStr">
        <is>
          <t>No</t>
        </is>
      </c>
      <c r="R68" s="6">
        <f>IF(K68="Yes",1,0)</f>
        <v/>
      </c>
      <c r="S68" s="6">
        <f>IF(K68="No",1,0)</f>
        <v/>
      </c>
      <c r="T68" s="6">
        <f>ROUND((IF(L68="",'Subscriptions'!$T$2,L68)-J68)/30.44,1)</f>
        <v/>
      </c>
      <c r="U68" s="6">
        <f>IF(AND(P68&lt;'Subscriptions'!$T$4,O68&lt;='Subscriptions'!$T$5),1,0)</f>
        <v/>
      </c>
    </row>
    <row r="69">
      <c r="A69" s="6" t="inlineStr">
        <is>
          <t>CUST-0068</t>
        </is>
      </c>
      <c r="B69" s="6" t="inlineStr">
        <is>
          <t>Professional</t>
        </is>
      </c>
      <c r="C69" s="6" t="inlineStr">
        <is>
          <t>Annual</t>
        </is>
      </c>
      <c r="D69" s="6" t="inlineStr">
        <is>
          <t>Education</t>
        </is>
      </c>
      <c r="E69" s="6" t="inlineStr">
        <is>
          <t>1-10</t>
        </is>
      </c>
      <c r="F69" s="6" t="n">
        <v>1</v>
      </c>
      <c r="G69" s="6" t="n">
        <v>67.15000000000001</v>
      </c>
      <c r="H69" s="6" t="inlineStr">
        <is>
          <t>Referral</t>
        </is>
      </c>
      <c r="I69" s="6" t="inlineStr">
        <is>
          <t>Asia Pacific</t>
        </is>
      </c>
      <c r="J69" s="7" t="n">
        <v>45993</v>
      </c>
      <c r="K69" s="6" t="inlineStr">
        <is>
          <t>No</t>
        </is>
      </c>
      <c r="L69" s="7" t="n"/>
      <c r="M69" s="6" t="n"/>
      <c r="N69" s="6" t="n">
        <v>7</v>
      </c>
      <c r="O69" s="6" t="n">
        <v>3</v>
      </c>
      <c r="P69" s="6" t="n">
        <v>29</v>
      </c>
      <c r="Q69" s="6" t="inlineStr">
        <is>
          <t>No</t>
        </is>
      </c>
      <c r="R69" s="6">
        <f>IF(K69="Yes",1,0)</f>
        <v/>
      </c>
      <c r="S69" s="6">
        <f>IF(K69="No",1,0)</f>
        <v/>
      </c>
      <c r="T69" s="6">
        <f>ROUND((IF(L69="",'Subscriptions'!$T$2,L69)-J69)/30.44,1)</f>
        <v/>
      </c>
      <c r="U69" s="6">
        <f>IF(AND(P69&lt;'Subscriptions'!$T$4,O69&lt;='Subscriptions'!$T$5),1,0)</f>
        <v/>
      </c>
    </row>
    <row r="70">
      <c r="A70" s="6" t="inlineStr">
        <is>
          <t>CUST-0069</t>
        </is>
      </c>
      <c r="B70" s="6" t="inlineStr">
        <is>
          <t>Starter</t>
        </is>
      </c>
      <c r="C70" s="6" t="inlineStr">
        <is>
          <t>Annual</t>
        </is>
      </c>
      <c r="D70" s="6" t="inlineStr">
        <is>
          <t>Media</t>
        </is>
      </c>
      <c r="E70" s="6" t="inlineStr">
        <is>
          <t>1-10</t>
        </is>
      </c>
      <c r="F70" s="6" t="n">
        <v>2</v>
      </c>
      <c r="G70" s="6" t="n">
        <v>28.35</v>
      </c>
      <c r="H70" s="6" t="inlineStr">
        <is>
          <t>Organic Search</t>
        </is>
      </c>
      <c r="I70" s="6" t="inlineStr">
        <is>
          <t>Europe</t>
        </is>
      </c>
      <c r="J70" s="7" t="n">
        <v>45137</v>
      </c>
      <c r="K70" s="6" t="inlineStr">
        <is>
          <t>Yes</t>
        </is>
      </c>
      <c r="L70" s="7" t="n">
        <v>45552</v>
      </c>
      <c r="M70" s="6" t="inlineStr">
        <is>
          <t>Missing Features</t>
        </is>
      </c>
      <c r="N70" s="6" t="n">
        <v>1</v>
      </c>
      <c r="O70" s="6" t="n">
        <v>2</v>
      </c>
      <c r="P70" s="6" t="n">
        <v>25</v>
      </c>
      <c r="Q70" s="6" t="inlineStr">
        <is>
          <t>No</t>
        </is>
      </c>
      <c r="R70" s="6">
        <f>IF(K70="Yes",1,0)</f>
        <v/>
      </c>
      <c r="S70" s="6">
        <f>IF(K70="No",1,0)</f>
        <v/>
      </c>
      <c r="T70" s="6">
        <f>ROUND((IF(L70="",'Subscriptions'!$T$2,L70)-J70)/30.44,1)</f>
        <v/>
      </c>
      <c r="U70" s="6">
        <f>IF(AND(P70&lt;'Subscriptions'!$T$4,O70&lt;='Subscriptions'!$T$5),1,0)</f>
        <v/>
      </c>
    </row>
    <row r="71">
      <c r="A71" s="6" t="inlineStr">
        <is>
          <t>CUST-0070</t>
        </is>
      </c>
      <c r="B71" s="6" t="inlineStr">
        <is>
          <t>Business</t>
        </is>
      </c>
      <c r="C71" s="6" t="inlineStr">
        <is>
          <t>Monthly</t>
        </is>
      </c>
      <c r="D71" s="6" t="inlineStr">
        <is>
          <t>Technology</t>
        </is>
      </c>
      <c r="E71" s="6" t="inlineStr">
        <is>
          <t>51-200</t>
        </is>
      </c>
      <c r="F71" s="6" t="n">
        <v>64</v>
      </c>
      <c r="G71" s="6" t="n">
        <v>2079.55</v>
      </c>
      <c r="H71" s="6" t="inlineStr">
        <is>
          <t>Organic Search</t>
        </is>
      </c>
      <c r="I71" s="6" t="inlineStr">
        <is>
          <t>North America</t>
        </is>
      </c>
      <c r="J71" s="7" t="n">
        <v>44798</v>
      </c>
      <c r="K71" s="6" t="inlineStr">
        <is>
          <t>Yes</t>
        </is>
      </c>
      <c r="L71" s="7" t="n">
        <v>44800</v>
      </c>
      <c r="M71" s="6" t="inlineStr">
        <is>
          <t>No Longer Needed</t>
        </is>
      </c>
      <c r="N71" s="6" t="n">
        <v>3</v>
      </c>
      <c r="O71" s="6" t="n">
        <v>1</v>
      </c>
      <c r="P71" s="6" t="n">
        <v>28</v>
      </c>
      <c r="Q71" s="6" t="inlineStr">
        <is>
          <t>No</t>
        </is>
      </c>
      <c r="R71" s="6">
        <f>IF(K71="Yes",1,0)</f>
        <v/>
      </c>
      <c r="S71" s="6">
        <f>IF(K71="No",1,0)</f>
        <v/>
      </c>
      <c r="T71" s="6">
        <f>ROUND((IF(L71="",'Subscriptions'!$T$2,L71)-J71)/30.44,1)</f>
        <v/>
      </c>
      <c r="U71" s="6">
        <f>IF(AND(P71&lt;'Subscriptions'!$T$4,O71&lt;='Subscriptions'!$T$5),1,0)</f>
        <v/>
      </c>
    </row>
    <row r="72">
      <c r="A72" s="6" t="inlineStr">
        <is>
          <t>CUST-0071</t>
        </is>
      </c>
      <c r="B72" s="6" t="inlineStr">
        <is>
          <t>Enterprise</t>
        </is>
      </c>
      <c r="C72" s="6" t="inlineStr">
        <is>
          <t>Monthly</t>
        </is>
      </c>
      <c r="D72" s="6" t="inlineStr">
        <is>
          <t>Retail</t>
        </is>
      </c>
      <c r="E72" s="6" t="inlineStr">
        <is>
          <t>201-500</t>
        </is>
      </c>
      <c r="F72" s="6" t="n">
        <v>58</v>
      </c>
      <c r="G72" s="6" t="n">
        <v>4765.45</v>
      </c>
      <c r="H72" s="6" t="inlineStr">
        <is>
          <t>Organic Search</t>
        </is>
      </c>
      <c r="I72" s="6" t="inlineStr">
        <is>
          <t>Europe</t>
        </is>
      </c>
      <c r="J72" s="7" t="n">
        <v>44583</v>
      </c>
      <c r="K72" s="6" t="inlineStr">
        <is>
          <t>No</t>
        </is>
      </c>
      <c r="L72" s="7" t="n"/>
      <c r="M72" s="6" t="n"/>
      <c r="N72" s="6" t="n">
        <v>4</v>
      </c>
      <c r="O72" s="6" t="n">
        <v>10</v>
      </c>
      <c r="P72" s="6" t="n">
        <v>42</v>
      </c>
      <c r="Q72" s="6" t="inlineStr">
        <is>
          <t>No</t>
        </is>
      </c>
      <c r="R72" s="6">
        <f>IF(K72="Yes",1,0)</f>
        <v/>
      </c>
      <c r="S72" s="6">
        <f>IF(K72="No",1,0)</f>
        <v/>
      </c>
      <c r="T72" s="6">
        <f>ROUND((IF(L72="",'Subscriptions'!$T$2,L72)-J72)/30.44,1)</f>
        <v/>
      </c>
      <c r="U72" s="6">
        <f>IF(AND(P72&lt;'Subscriptions'!$T$4,O72&lt;='Subscriptions'!$T$5),1,0)</f>
        <v/>
      </c>
    </row>
    <row r="73">
      <c r="A73" s="6" t="inlineStr">
        <is>
          <t>CUST-0072</t>
        </is>
      </c>
      <c r="B73" s="6" t="inlineStr">
        <is>
          <t>Starter</t>
        </is>
      </c>
      <c r="C73" s="6" t="inlineStr">
        <is>
          <t>Monthly</t>
        </is>
      </c>
      <c r="D73" s="6" t="inlineStr">
        <is>
          <t>Consulting</t>
        </is>
      </c>
      <c r="E73" s="6" t="inlineStr">
        <is>
          <t>51-200</t>
        </is>
      </c>
      <c r="F73" s="6" t="n">
        <v>31</v>
      </c>
      <c r="G73" s="6" t="n">
        <v>159.5</v>
      </c>
      <c r="H73" s="6" t="inlineStr">
        <is>
          <t>Organic Search</t>
        </is>
      </c>
      <c r="I73" s="6" t="inlineStr">
        <is>
          <t>North America</t>
        </is>
      </c>
      <c r="J73" s="7" t="n">
        <v>45464</v>
      </c>
      <c r="K73" s="6" t="inlineStr">
        <is>
          <t>No</t>
        </is>
      </c>
      <c r="L73" s="7" t="n"/>
      <c r="M73" s="6" t="n"/>
      <c r="N73" s="6" t="n">
        <v>7</v>
      </c>
      <c r="O73" s="6" t="n">
        <v>10</v>
      </c>
      <c r="P73" s="6" t="n">
        <v>81</v>
      </c>
      <c r="Q73" s="6" t="inlineStr">
        <is>
          <t>No</t>
        </is>
      </c>
      <c r="R73" s="6">
        <f>IF(K73="Yes",1,0)</f>
        <v/>
      </c>
      <c r="S73" s="6">
        <f>IF(K73="No",1,0)</f>
        <v/>
      </c>
      <c r="T73" s="6">
        <f>ROUND((IF(L73="",'Subscriptions'!$T$2,L73)-J73)/30.44,1)</f>
        <v/>
      </c>
      <c r="U73" s="6">
        <f>IF(AND(P73&lt;'Subscriptions'!$T$4,O73&lt;='Subscriptions'!$T$5),1,0)</f>
        <v/>
      </c>
    </row>
    <row r="74">
      <c r="A74" s="6" t="inlineStr">
        <is>
          <t>CUST-0073</t>
        </is>
      </c>
      <c r="B74" s="6" t="inlineStr">
        <is>
          <t>Professional</t>
        </is>
      </c>
      <c r="C74" s="6" t="inlineStr">
        <is>
          <t>Monthly</t>
        </is>
      </c>
      <c r="D74" s="6" t="inlineStr">
        <is>
          <t>Healthcare</t>
        </is>
      </c>
      <c r="E74" s="6" t="inlineStr">
        <is>
          <t>201-500</t>
        </is>
      </c>
      <c r="F74" s="6" t="n">
        <v>106</v>
      </c>
      <c r="G74" s="6" t="n">
        <v>1323.25</v>
      </c>
      <c r="H74" s="6" t="inlineStr">
        <is>
          <t>Referral</t>
        </is>
      </c>
      <c r="I74" s="6" t="inlineStr">
        <is>
          <t>North America</t>
        </is>
      </c>
      <c r="J74" s="7" t="n">
        <v>45797</v>
      </c>
      <c r="K74" s="6" t="inlineStr">
        <is>
          <t>No</t>
        </is>
      </c>
      <c r="L74" s="7" t="n"/>
      <c r="M74" s="6" t="n"/>
      <c r="N74" s="6" t="n">
        <v>7</v>
      </c>
      <c r="O74" s="6" t="n">
        <v>2</v>
      </c>
      <c r="P74" s="6" t="n">
        <v>87</v>
      </c>
      <c r="Q74" s="6" t="inlineStr">
        <is>
          <t>Yes</t>
        </is>
      </c>
      <c r="R74" s="6">
        <f>IF(K74="Yes",1,0)</f>
        <v/>
      </c>
      <c r="S74" s="6">
        <f>IF(K74="No",1,0)</f>
        <v/>
      </c>
      <c r="T74" s="6">
        <f>ROUND((IF(L74="",'Subscriptions'!$T$2,L74)-J74)/30.44,1)</f>
        <v/>
      </c>
      <c r="U74" s="6">
        <f>IF(AND(P74&lt;'Subscriptions'!$T$4,O74&lt;='Subscriptions'!$T$5),1,0)</f>
        <v/>
      </c>
    </row>
    <row r="75">
      <c r="A75" s="6" t="inlineStr">
        <is>
          <t>CUST-0074</t>
        </is>
      </c>
      <c r="B75" s="6" t="inlineStr">
        <is>
          <t>Starter</t>
        </is>
      </c>
      <c r="C75" s="6" t="inlineStr">
        <is>
          <t>Monthly</t>
        </is>
      </c>
      <c r="D75" s="6" t="inlineStr">
        <is>
          <t>Legal</t>
        </is>
      </c>
      <c r="E75" s="6" t="inlineStr">
        <is>
          <t>51-200</t>
        </is>
      </c>
      <c r="F75" s="6" t="n">
        <v>42</v>
      </c>
      <c r="G75" s="6" t="n">
        <v>207.35</v>
      </c>
      <c r="H75" s="6" t="inlineStr">
        <is>
          <t>Paid Ads</t>
        </is>
      </c>
      <c r="I75" s="6" t="inlineStr">
        <is>
          <t>North America</t>
        </is>
      </c>
      <c r="J75" s="7" t="n">
        <v>45274</v>
      </c>
      <c r="K75" s="6" t="inlineStr">
        <is>
          <t>Yes</t>
        </is>
      </c>
      <c r="L75" s="7" t="n">
        <v>45629</v>
      </c>
      <c r="M75" s="6" t="inlineStr">
        <is>
          <t>Company Closed</t>
        </is>
      </c>
      <c r="N75" s="6" t="n">
        <v>12</v>
      </c>
      <c r="O75" s="6" t="n">
        <v>3</v>
      </c>
      <c r="P75" s="6" t="n">
        <v>10</v>
      </c>
      <c r="Q75" s="6" t="inlineStr">
        <is>
          <t>No</t>
        </is>
      </c>
      <c r="R75" s="6">
        <f>IF(K75="Yes",1,0)</f>
        <v/>
      </c>
      <c r="S75" s="6">
        <f>IF(K75="No",1,0)</f>
        <v/>
      </c>
      <c r="T75" s="6">
        <f>ROUND((IF(L75="",'Subscriptions'!$T$2,L75)-J75)/30.44,1)</f>
        <v/>
      </c>
      <c r="U75" s="6">
        <f>IF(AND(P75&lt;'Subscriptions'!$T$4,O75&lt;='Subscriptions'!$T$5),1,0)</f>
        <v/>
      </c>
    </row>
    <row r="76">
      <c r="A76" s="6" t="inlineStr">
        <is>
          <t>CUST-0075</t>
        </is>
      </c>
      <c r="B76" s="6" t="inlineStr">
        <is>
          <t>Professional</t>
        </is>
      </c>
      <c r="C76" s="6" t="inlineStr">
        <is>
          <t>Monthly</t>
        </is>
      </c>
      <c r="D76" s="6" t="inlineStr">
        <is>
          <t>Retail</t>
        </is>
      </c>
      <c r="E76" s="6" t="inlineStr">
        <is>
          <t>1-10</t>
        </is>
      </c>
      <c r="F76" s="6" t="n">
        <v>6</v>
      </c>
      <c r="G76" s="6" t="n">
        <v>138.25</v>
      </c>
      <c r="H76" s="6" t="inlineStr">
        <is>
          <t>Paid Ads</t>
        </is>
      </c>
      <c r="I76" s="6" t="inlineStr">
        <is>
          <t>North America</t>
        </is>
      </c>
      <c r="J76" s="7" t="n">
        <v>44925</v>
      </c>
      <c r="K76" s="6" t="inlineStr">
        <is>
          <t>No</t>
        </is>
      </c>
      <c r="L76" s="7" t="n"/>
      <c r="M76" s="6" t="n"/>
      <c r="N76" s="6" t="n">
        <v>5</v>
      </c>
      <c r="O76" s="6" t="n">
        <v>1</v>
      </c>
      <c r="P76" s="6" t="n">
        <v>49</v>
      </c>
      <c r="Q76" s="6" t="inlineStr">
        <is>
          <t>No</t>
        </is>
      </c>
      <c r="R76" s="6">
        <f>IF(K76="Yes",1,0)</f>
        <v/>
      </c>
      <c r="S76" s="6">
        <f>IF(K76="No",1,0)</f>
        <v/>
      </c>
      <c r="T76" s="6">
        <f>ROUND((IF(L76="",'Subscriptions'!$T$2,L76)-J76)/30.44,1)</f>
        <v/>
      </c>
      <c r="U76" s="6">
        <f>IF(AND(P76&lt;'Subscriptions'!$T$4,O76&lt;='Subscriptions'!$T$5),1,0)</f>
        <v/>
      </c>
    </row>
    <row r="77">
      <c r="A77" s="6" t="inlineStr">
        <is>
          <t>CUST-0076</t>
        </is>
      </c>
      <c r="B77" s="6" t="inlineStr">
        <is>
          <t>Professional</t>
        </is>
      </c>
      <c r="C77" s="6" t="inlineStr">
        <is>
          <t>Annual</t>
        </is>
      </c>
      <c r="D77" s="6" t="inlineStr">
        <is>
          <t>Healthcare</t>
        </is>
      </c>
      <c r="E77" s="6" t="inlineStr">
        <is>
          <t>201-500</t>
        </is>
      </c>
      <c r="F77" s="6" t="n">
        <v>56</v>
      </c>
      <c r="G77" s="6" t="n">
        <v>621.14</v>
      </c>
      <c r="H77" s="6" t="inlineStr">
        <is>
          <t>Referral</t>
        </is>
      </c>
      <c r="I77" s="6" t="inlineStr">
        <is>
          <t>Europe</t>
        </is>
      </c>
      <c r="J77" s="7" t="n">
        <v>45354</v>
      </c>
      <c r="K77" s="6" t="inlineStr">
        <is>
          <t>No</t>
        </is>
      </c>
      <c r="L77" s="7" t="n"/>
      <c r="M77" s="6" t="n"/>
      <c r="N77" s="6" t="n">
        <v>2</v>
      </c>
      <c r="O77" s="6" t="n">
        <v>5</v>
      </c>
      <c r="P77" s="6" t="n">
        <v>87</v>
      </c>
      <c r="Q77" s="6" t="inlineStr">
        <is>
          <t>No</t>
        </is>
      </c>
      <c r="R77" s="6">
        <f>IF(K77="Yes",1,0)</f>
        <v/>
      </c>
      <c r="S77" s="6">
        <f>IF(K77="No",1,0)</f>
        <v/>
      </c>
      <c r="T77" s="6">
        <f>ROUND((IF(L77="",'Subscriptions'!$T$2,L77)-J77)/30.44,1)</f>
        <v/>
      </c>
      <c r="U77" s="6">
        <f>IF(AND(P77&lt;'Subscriptions'!$T$4,O77&lt;='Subscriptions'!$T$5),1,0)</f>
        <v/>
      </c>
    </row>
    <row r="78">
      <c r="A78" s="6" t="inlineStr">
        <is>
          <t>CUST-0077</t>
        </is>
      </c>
      <c r="B78" s="6" t="inlineStr">
        <is>
          <t>Enterprise</t>
        </is>
      </c>
      <c r="C78" s="6" t="inlineStr">
        <is>
          <t>Monthly</t>
        </is>
      </c>
      <c r="D78" s="6" t="inlineStr">
        <is>
          <t>Media</t>
        </is>
      </c>
      <c r="E78" s="6" t="inlineStr">
        <is>
          <t>51-200</t>
        </is>
      </c>
      <c r="F78" s="6" t="n">
        <v>52</v>
      </c>
      <c r="G78" s="6" t="n">
        <v>4316.35</v>
      </c>
      <c r="H78" s="6" t="inlineStr">
        <is>
          <t>Partner</t>
        </is>
      </c>
      <c r="I78" s="6" t="inlineStr">
        <is>
          <t>Europe</t>
        </is>
      </c>
      <c r="J78" s="7" t="n">
        <v>45047</v>
      </c>
      <c r="K78" s="6" t="inlineStr">
        <is>
          <t>No</t>
        </is>
      </c>
      <c r="L78" s="7" t="n"/>
      <c r="M78" s="6" t="n"/>
      <c r="N78" s="6" t="n">
        <v>4</v>
      </c>
      <c r="O78" s="6" t="n">
        <v>7</v>
      </c>
      <c r="P78" s="6" t="n">
        <v>88</v>
      </c>
      <c r="Q78" s="6" t="inlineStr">
        <is>
          <t>No</t>
        </is>
      </c>
      <c r="R78" s="6">
        <f>IF(K78="Yes",1,0)</f>
        <v/>
      </c>
      <c r="S78" s="6">
        <f>IF(K78="No",1,0)</f>
        <v/>
      </c>
      <c r="T78" s="6">
        <f>ROUND((IF(L78="",'Subscriptions'!$T$2,L78)-J78)/30.44,1)</f>
        <v/>
      </c>
      <c r="U78" s="6">
        <f>IF(AND(P78&lt;'Subscriptions'!$T$4,O78&lt;='Subscriptions'!$T$5),1,0)</f>
        <v/>
      </c>
    </row>
    <row r="79">
      <c r="A79" s="6" t="inlineStr">
        <is>
          <t>CUST-0078</t>
        </is>
      </c>
      <c r="B79" s="6" t="inlineStr">
        <is>
          <t>Starter</t>
        </is>
      </c>
      <c r="C79" s="6" t="inlineStr">
        <is>
          <t>Annual</t>
        </is>
      </c>
      <c r="D79" s="6" t="inlineStr">
        <is>
          <t>Media</t>
        </is>
      </c>
      <c r="E79" s="6" t="inlineStr">
        <is>
          <t>51-200</t>
        </is>
      </c>
      <c r="F79" s="6" t="n">
        <v>24</v>
      </c>
      <c r="G79" s="6" t="n">
        <v>109.69</v>
      </c>
      <c r="H79" s="6" t="inlineStr">
        <is>
          <t>Partner</t>
        </is>
      </c>
      <c r="I79" s="6" t="inlineStr">
        <is>
          <t>Europe</t>
        </is>
      </c>
      <c r="J79" s="7" t="n">
        <v>44978</v>
      </c>
      <c r="K79" s="6" t="inlineStr">
        <is>
          <t>Yes</t>
        </is>
      </c>
      <c r="L79" s="7" t="n">
        <v>45909</v>
      </c>
      <c r="M79" s="6" t="inlineStr">
        <is>
          <t>Budget Cuts</t>
        </is>
      </c>
      <c r="N79" s="6" t="n">
        <v>2</v>
      </c>
      <c r="O79" s="6" t="n">
        <v>4</v>
      </c>
      <c r="P79" s="6" t="n">
        <v>16</v>
      </c>
      <c r="Q79" s="6" t="inlineStr">
        <is>
          <t>No</t>
        </is>
      </c>
      <c r="R79" s="6">
        <f>IF(K79="Yes",1,0)</f>
        <v/>
      </c>
      <c r="S79" s="6">
        <f>IF(K79="No",1,0)</f>
        <v/>
      </c>
      <c r="T79" s="6">
        <f>ROUND((IF(L79="",'Subscriptions'!$T$2,L79)-J79)/30.44,1)</f>
        <v/>
      </c>
      <c r="U79" s="6">
        <f>IF(AND(P79&lt;'Subscriptions'!$T$4,O79&lt;='Subscriptions'!$T$5),1,0)</f>
        <v/>
      </c>
    </row>
    <row r="80">
      <c r="A80" s="6" t="inlineStr">
        <is>
          <t>CUST-0079</t>
        </is>
      </c>
      <c r="B80" s="6" t="inlineStr">
        <is>
          <t>Business</t>
        </is>
      </c>
      <c r="C80" s="6" t="inlineStr">
        <is>
          <t>Monthly</t>
        </is>
      </c>
      <c r="D80" s="6" t="inlineStr">
        <is>
          <t>Healthcare</t>
        </is>
      </c>
      <c r="E80" s="6" t="inlineStr">
        <is>
          <t>51-200</t>
        </is>
      </c>
      <c r="F80" s="6" t="n">
        <v>40</v>
      </c>
      <c r="G80" s="6" t="n">
        <v>1363.15</v>
      </c>
      <c r="H80" s="6" t="inlineStr">
        <is>
          <t>Social Media</t>
        </is>
      </c>
      <c r="I80" s="6" t="inlineStr">
        <is>
          <t>North America</t>
        </is>
      </c>
      <c r="J80" s="7" t="n">
        <v>45297</v>
      </c>
      <c r="K80" s="6" t="inlineStr">
        <is>
          <t>No</t>
        </is>
      </c>
      <c r="L80" s="7" t="n"/>
      <c r="M80" s="6" t="n"/>
      <c r="N80" s="6" t="n">
        <v>0</v>
      </c>
      <c r="O80" s="6" t="n">
        <v>4</v>
      </c>
      <c r="P80" s="6" t="n">
        <v>29</v>
      </c>
      <c r="Q80" s="6" t="inlineStr">
        <is>
          <t>No</t>
        </is>
      </c>
      <c r="R80" s="6">
        <f>IF(K80="Yes",1,0)</f>
        <v/>
      </c>
      <c r="S80" s="6">
        <f>IF(K80="No",1,0)</f>
        <v/>
      </c>
      <c r="T80" s="6">
        <f>ROUND((IF(L80="",'Subscriptions'!$T$2,L80)-J80)/30.44,1)</f>
        <v/>
      </c>
      <c r="U80" s="6">
        <f>IF(AND(P80&lt;'Subscriptions'!$T$4,O80&lt;='Subscriptions'!$T$5),1,0)</f>
        <v/>
      </c>
    </row>
    <row r="81">
      <c r="A81" s="6" t="inlineStr">
        <is>
          <t>CUST-0080</t>
        </is>
      </c>
      <c r="B81" s="6" t="inlineStr">
        <is>
          <t>Starter</t>
        </is>
      </c>
      <c r="C81" s="6" t="inlineStr">
        <is>
          <t>Monthly</t>
        </is>
      </c>
      <c r="D81" s="6" t="inlineStr">
        <is>
          <t>Healthcare</t>
        </is>
      </c>
      <c r="E81" s="6" t="inlineStr">
        <is>
          <t>11-50</t>
        </is>
      </c>
      <c r="F81" s="6" t="n">
        <v>5</v>
      </c>
      <c r="G81" s="6" t="n">
        <v>46.4</v>
      </c>
      <c r="H81" s="6" t="inlineStr">
        <is>
          <t>Organic Search</t>
        </is>
      </c>
      <c r="I81" s="6" t="inlineStr">
        <is>
          <t>Asia Pacific</t>
        </is>
      </c>
      <c r="J81" s="7" t="n">
        <v>45721</v>
      </c>
      <c r="K81" s="6" t="inlineStr">
        <is>
          <t>Yes</t>
        </is>
      </c>
      <c r="L81" s="7" t="n">
        <v>45753</v>
      </c>
      <c r="M81" s="6" t="inlineStr">
        <is>
          <t>No Longer Needed</t>
        </is>
      </c>
      <c r="N81" s="6" t="n">
        <v>0</v>
      </c>
      <c r="O81" s="6" t="n">
        <v>6</v>
      </c>
      <c r="P81" s="6" t="n">
        <v>20</v>
      </c>
      <c r="Q81" s="6" t="inlineStr">
        <is>
          <t>No</t>
        </is>
      </c>
      <c r="R81" s="6">
        <f>IF(K81="Yes",1,0)</f>
        <v/>
      </c>
      <c r="S81" s="6">
        <f>IF(K81="No",1,0)</f>
        <v/>
      </c>
      <c r="T81" s="6">
        <f>ROUND((IF(L81="",'Subscriptions'!$T$2,L81)-J81)/30.44,1)</f>
        <v/>
      </c>
      <c r="U81" s="6">
        <f>IF(AND(P81&lt;'Subscriptions'!$T$4,O81&lt;='Subscriptions'!$T$5),1,0)</f>
        <v/>
      </c>
    </row>
    <row r="82">
      <c r="A82" s="6" t="inlineStr">
        <is>
          <t>CUST-0081</t>
        </is>
      </c>
      <c r="B82" s="6" t="inlineStr">
        <is>
          <t>Business</t>
        </is>
      </c>
      <c r="C82" s="6" t="inlineStr">
        <is>
          <t>Annual</t>
        </is>
      </c>
      <c r="D82" s="6" t="inlineStr">
        <is>
          <t>Finance</t>
        </is>
      </c>
      <c r="E82" s="6" t="inlineStr">
        <is>
          <t>11-50</t>
        </is>
      </c>
      <c r="F82" s="6" t="n">
        <v>24</v>
      </c>
      <c r="G82" s="6" t="n">
        <v>752.72</v>
      </c>
      <c r="H82" s="6" t="inlineStr">
        <is>
          <t>Organic Search</t>
        </is>
      </c>
      <c r="I82" s="6" t="inlineStr">
        <is>
          <t>Asia Pacific</t>
        </is>
      </c>
      <c r="J82" s="7" t="n">
        <v>45308</v>
      </c>
      <c r="K82" s="6" t="inlineStr">
        <is>
          <t>No</t>
        </is>
      </c>
      <c r="L82" s="7" t="n"/>
      <c r="M82" s="6" t="n"/>
      <c r="N82" s="6" t="n">
        <v>2</v>
      </c>
      <c r="O82" s="6" t="n">
        <v>6</v>
      </c>
      <c r="P82" s="6" t="n">
        <v>86</v>
      </c>
      <c r="Q82" s="6" t="inlineStr">
        <is>
          <t>No</t>
        </is>
      </c>
      <c r="R82" s="6">
        <f>IF(K82="Yes",1,0)</f>
        <v/>
      </c>
      <c r="S82" s="6">
        <f>IF(K82="No",1,0)</f>
        <v/>
      </c>
      <c r="T82" s="6">
        <f>ROUND((IF(L82="",'Subscriptions'!$T$2,L82)-J82)/30.44,1)</f>
        <v/>
      </c>
      <c r="U82" s="6">
        <f>IF(AND(P82&lt;'Subscriptions'!$T$4,O82&lt;='Subscriptions'!$T$5),1,0)</f>
        <v/>
      </c>
    </row>
    <row r="83">
      <c r="A83" s="6" t="inlineStr">
        <is>
          <t>CUST-0082</t>
        </is>
      </c>
      <c r="B83" s="6" t="inlineStr">
        <is>
          <t>Starter</t>
        </is>
      </c>
      <c r="C83" s="6" t="inlineStr">
        <is>
          <t>Annual</t>
        </is>
      </c>
      <c r="D83" s="6" t="inlineStr">
        <is>
          <t>Technology</t>
        </is>
      </c>
      <c r="E83" s="6" t="inlineStr">
        <is>
          <t>1-10</t>
        </is>
      </c>
      <c r="F83" s="6" t="n">
        <v>1</v>
      </c>
      <c r="G83" s="6" t="n">
        <v>24.65</v>
      </c>
      <c r="H83" s="6" t="inlineStr">
        <is>
          <t>Social Media</t>
        </is>
      </c>
      <c r="I83" s="6" t="inlineStr">
        <is>
          <t>Europe</t>
        </is>
      </c>
      <c r="J83" s="7" t="n">
        <v>45462</v>
      </c>
      <c r="K83" s="6" t="inlineStr">
        <is>
          <t>Yes</t>
        </is>
      </c>
      <c r="L83" s="7" t="n">
        <v>45812</v>
      </c>
      <c r="M83" s="6" t="inlineStr">
        <is>
          <t>Budget Cuts</t>
        </is>
      </c>
      <c r="N83" s="6" t="n">
        <v>14</v>
      </c>
      <c r="O83" s="6" t="n">
        <v>2</v>
      </c>
      <c r="P83" s="6" t="n">
        <v>22</v>
      </c>
      <c r="Q83" s="6" t="inlineStr">
        <is>
          <t>No</t>
        </is>
      </c>
      <c r="R83" s="6">
        <f>IF(K83="Yes",1,0)</f>
        <v/>
      </c>
      <c r="S83" s="6">
        <f>IF(K83="No",1,0)</f>
        <v/>
      </c>
      <c r="T83" s="6">
        <f>ROUND((IF(L83="",'Subscriptions'!$T$2,L83)-J83)/30.44,1)</f>
        <v/>
      </c>
      <c r="U83" s="6">
        <f>IF(AND(P83&lt;'Subscriptions'!$T$4,O83&lt;='Subscriptions'!$T$5),1,0)</f>
        <v/>
      </c>
    </row>
    <row r="84">
      <c r="A84" s="6" t="inlineStr">
        <is>
          <t>CUST-0083</t>
        </is>
      </c>
      <c r="B84" s="6" t="inlineStr">
        <is>
          <t>Professional</t>
        </is>
      </c>
      <c r="C84" s="6" t="inlineStr">
        <is>
          <t>Monthly</t>
        </is>
      </c>
      <c r="D84" s="6" t="inlineStr">
        <is>
          <t>Education</t>
        </is>
      </c>
      <c r="E84" s="6" t="inlineStr">
        <is>
          <t>1-10</t>
        </is>
      </c>
      <c r="F84" s="6" t="n">
        <v>5</v>
      </c>
      <c r="G84" s="6" t="n">
        <v>126.4</v>
      </c>
      <c r="H84" s="6" t="inlineStr">
        <is>
          <t>Paid Ads</t>
        </is>
      </c>
      <c r="I84" s="6" t="inlineStr">
        <is>
          <t>Asia Pacific</t>
        </is>
      </c>
      <c r="J84" s="7" t="n">
        <v>45912</v>
      </c>
      <c r="K84" s="6" t="inlineStr">
        <is>
          <t>No</t>
        </is>
      </c>
      <c r="L84" s="7" t="n"/>
      <c r="M84" s="6" t="n"/>
      <c r="N84" s="6" t="n">
        <v>6</v>
      </c>
      <c r="O84" s="6" t="n">
        <v>9</v>
      </c>
      <c r="P84" s="6" t="n">
        <v>56</v>
      </c>
      <c r="Q84" s="6" t="inlineStr">
        <is>
          <t>No</t>
        </is>
      </c>
      <c r="R84" s="6">
        <f>IF(K84="Yes",1,0)</f>
        <v/>
      </c>
      <c r="S84" s="6">
        <f>IF(K84="No",1,0)</f>
        <v/>
      </c>
      <c r="T84" s="6">
        <f>ROUND((IF(L84="",'Subscriptions'!$T$2,L84)-J84)/30.44,1)</f>
        <v/>
      </c>
      <c r="U84" s="6">
        <f>IF(AND(P84&lt;'Subscriptions'!$T$4,O84&lt;='Subscriptions'!$T$5),1,0)</f>
        <v/>
      </c>
    </row>
    <row r="85">
      <c r="A85" s="6" t="inlineStr">
        <is>
          <t>CUST-0084</t>
        </is>
      </c>
      <c r="B85" s="6" t="inlineStr">
        <is>
          <t>Business</t>
        </is>
      </c>
      <c r="C85" s="6" t="inlineStr">
        <is>
          <t>Monthly</t>
        </is>
      </c>
      <c r="D85" s="6" t="inlineStr">
        <is>
          <t>Real Estate</t>
        </is>
      </c>
      <c r="E85" s="6" t="inlineStr">
        <is>
          <t>201-500</t>
        </is>
      </c>
      <c r="F85" s="6" t="n">
        <v>71</v>
      </c>
      <c r="G85" s="6" t="n">
        <v>2288.5</v>
      </c>
      <c r="H85" s="6" t="inlineStr">
        <is>
          <t>Referral</t>
        </is>
      </c>
      <c r="I85" s="6" t="inlineStr">
        <is>
          <t>Europe</t>
        </is>
      </c>
      <c r="J85" s="7" t="n">
        <v>44947</v>
      </c>
      <c r="K85" s="6" t="inlineStr">
        <is>
          <t>Yes</t>
        </is>
      </c>
      <c r="L85" s="7" t="n">
        <v>45308</v>
      </c>
      <c r="M85" s="6" t="inlineStr">
        <is>
          <t>Missing Features</t>
        </is>
      </c>
      <c r="N85" s="6" t="n">
        <v>6</v>
      </c>
      <c r="O85" s="6" t="n">
        <v>5</v>
      </c>
      <c r="P85" s="6" t="n">
        <v>29</v>
      </c>
      <c r="Q85" s="6" t="inlineStr">
        <is>
          <t>No</t>
        </is>
      </c>
      <c r="R85" s="6">
        <f>IF(K85="Yes",1,0)</f>
        <v/>
      </c>
      <c r="S85" s="6">
        <f>IF(K85="No",1,0)</f>
        <v/>
      </c>
      <c r="T85" s="6">
        <f>ROUND((IF(L85="",'Subscriptions'!$T$2,L85)-J85)/30.44,1)</f>
        <v/>
      </c>
      <c r="U85" s="6">
        <f>IF(AND(P85&lt;'Subscriptions'!$T$4,O85&lt;='Subscriptions'!$T$5),1,0)</f>
        <v/>
      </c>
    </row>
    <row r="86">
      <c r="A86" s="6" t="inlineStr">
        <is>
          <t>CUST-0085</t>
        </is>
      </c>
      <c r="B86" s="6" t="inlineStr">
        <is>
          <t>Starter</t>
        </is>
      </c>
      <c r="C86" s="6" t="inlineStr">
        <is>
          <t>Monthly</t>
        </is>
      </c>
      <c r="D86" s="6" t="inlineStr">
        <is>
          <t>Real Estate</t>
        </is>
      </c>
      <c r="E86" s="6" t="inlineStr">
        <is>
          <t>11-50</t>
        </is>
      </c>
      <c r="F86" s="6" t="n">
        <v>21</v>
      </c>
      <c r="G86" s="6" t="n">
        <v>116</v>
      </c>
      <c r="H86" s="6" t="inlineStr">
        <is>
          <t>Partner</t>
        </is>
      </c>
      <c r="I86" s="6" t="inlineStr">
        <is>
          <t>Latin America</t>
        </is>
      </c>
      <c r="J86" s="7" t="n">
        <v>45661</v>
      </c>
      <c r="K86" s="6" t="inlineStr">
        <is>
          <t>Yes</t>
        </is>
      </c>
      <c r="L86" s="7" t="n">
        <v>45730</v>
      </c>
      <c r="M86" s="6" t="inlineStr">
        <is>
          <t>Company Closed</t>
        </is>
      </c>
      <c r="N86" s="6" t="n">
        <v>13</v>
      </c>
      <c r="O86" s="6" t="n">
        <v>2</v>
      </c>
      <c r="P86" s="6" t="n">
        <v>42</v>
      </c>
      <c r="Q86" s="6" t="inlineStr">
        <is>
          <t>No</t>
        </is>
      </c>
      <c r="R86" s="6">
        <f>IF(K86="Yes",1,0)</f>
        <v/>
      </c>
      <c r="S86" s="6">
        <f>IF(K86="No",1,0)</f>
        <v/>
      </c>
      <c r="T86" s="6">
        <f>ROUND((IF(L86="",'Subscriptions'!$T$2,L86)-J86)/30.44,1)</f>
        <v/>
      </c>
      <c r="U86" s="6">
        <f>IF(AND(P86&lt;'Subscriptions'!$T$4,O86&lt;='Subscriptions'!$T$5),1,0)</f>
        <v/>
      </c>
    </row>
    <row r="87">
      <c r="A87" s="6" t="inlineStr">
        <is>
          <t>CUST-0086</t>
        </is>
      </c>
      <c r="B87" s="6" t="inlineStr">
        <is>
          <t>Business</t>
        </is>
      </c>
      <c r="C87" s="6" t="inlineStr">
        <is>
          <t>Monthly</t>
        </is>
      </c>
      <c r="D87" s="6" t="inlineStr">
        <is>
          <t>Technology</t>
        </is>
      </c>
      <c r="E87" s="6" t="inlineStr">
        <is>
          <t>11-50</t>
        </is>
      </c>
      <c r="F87" s="6" t="n">
        <v>27</v>
      </c>
      <c r="G87" s="6" t="n">
        <v>975.1</v>
      </c>
      <c r="H87" s="6" t="inlineStr">
        <is>
          <t>Partner</t>
        </is>
      </c>
      <c r="I87" s="6" t="inlineStr">
        <is>
          <t>Europe</t>
        </is>
      </c>
      <c r="J87" s="7" t="n">
        <v>45479</v>
      </c>
      <c r="K87" s="6" t="inlineStr">
        <is>
          <t>No</t>
        </is>
      </c>
      <c r="L87" s="7" t="n"/>
      <c r="M87" s="6" t="n"/>
      <c r="N87" s="6" t="n">
        <v>9</v>
      </c>
      <c r="O87" s="6" t="n">
        <v>7</v>
      </c>
      <c r="P87" s="6" t="n">
        <v>35</v>
      </c>
      <c r="Q87" s="6" t="inlineStr">
        <is>
          <t>No</t>
        </is>
      </c>
      <c r="R87" s="6">
        <f>IF(K87="Yes",1,0)</f>
        <v/>
      </c>
      <c r="S87" s="6">
        <f>IF(K87="No",1,0)</f>
        <v/>
      </c>
      <c r="T87" s="6">
        <f>ROUND((IF(L87="",'Subscriptions'!$T$2,L87)-J87)/30.44,1)</f>
        <v/>
      </c>
      <c r="U87" s="6">
        <f>IF(AND(P87&lt;'Subscriptions'!$T$4,O87&lt;='Subscriptions'!$T$5),1,0)</f>
        <v/>
      </c>
    </row>
    <row r="88">
      <c r="A88" s="6" t="inlineStr">
        <is>
          <t>CUST-0087</t>
        </is>
      </c>
      <c r="B88" s="6" t="inlineStr">
        <is>
          <t>Professional</t>
        </is>
      </c>
      <c r="C88" s="6" t="inlineStr">
        <is>
          <t>Annual</t>
        </is>
      </c>
      <c r="D88" s="6" t="inlineStr">
        <is>
          <t>Education</t>
        </is>
      </c>
      <c r="E88" s="6" t="inlineStr">
        <is>
          <t>51-200</t>
        </is>
      </c>
      <c r="F88" s="6" t="n">
        <v>17</v>
      </c>
      <c r="G88" s="6" t="n">
        <v>228.31</v>
      </c>
      <c r="H88" s="6" t="inlineStr">
        <is>
          <t>Direct Sales</t>
        </is>
      </c>
      <c r="I88" s="6" t="inlineStr">
        <is>
          <t>Europe</t>
        </is>
      </c>
      <c r="J88" s="7" t="n">
        <v>45421</v>
      </c>
      <c r="K88" s="6" t="inlineStr">
        <is>
          <t>No</t>
        </is>
      </c>
      <c r="L88" s="7" t="n"/>
      <c r="M88" s="6" t="n"/>
      <c r="N88" s="6" t="n">
        <v>2</v>
      </c>
      <c r="O88" s="6" t="n">
        <v>4</v>
      </c>
      <c r="P88" s="6" t="n">
        <v>88</v>
      </c>
      <c r="Q88" s="6" t="inlineStr">
        <is>
          <t>No</t>
        </is>
      </c>
      <c r="R88" s="6">
        <f>IF(K88="Yes",1,0)</f>
        <v/>
      </c>
      <c r="S88" s="6">
        <f>IF(K88="No",1,0)</f>
        <v/>
      </c>
      <c r="T88" s="6">
        <f>ROUND((IF(L88="",'Subscriptions'!$T$2,L88)-J88)/30.44,1)</f>
        <v/>
      </c>
      <c r="U88" s="6">
        <f>IF(AND(P88&lt;'Subscriptions'!$T$4,O88&lt;='Subscriptions'!$T$5),1,0)</f>
        <v/>
      </c>
    </row>
    <row r="89">
      <c r="A89" s="6" t="inlineStr">
        <is>
          <t>CUST-0088</t>
        </is>
      </c>
      <c r="B89" s="6" t="inlineStr">
        <is>
          <t>Starter</t>
        </is>
      </c>
      <c r="C89" s="6" t="inlineStr">
        <is>
          <t>Monthly</t>
        </is>
      </c>
      <c r="D89" s="6" t="inlineStr">
        <is>
          <t>Consulting</t>
        </is>
      </c>
      <c r="E89" s="6" t="inlineStr">
        <is>
          <t>51-200</t>
        </is>
      </c>
      <c r="F89" s="6" t="n">
        <v>76</v>
      </c>
      <c r="G89" s="6" t="n">
        <v>355.25</v>
      </c>
      <c r="H89" s="6" t="inlineStr">
        <is>
          <t>Referral</t>
        </is>
      </c>
      <c r="I89" s="6" t="inlineStr">
        <is>
          <t>Asia Pacific</t>
        </is>
      </c>
      <c r="J89" s="7" t="n">
        <v>45641</v>
      </c>
      <c r="K89" s="6" t="inlineStr">
        <is>
          <t>Yes</t>
        </is>
      </c>
      <c r="L89" s="7" t="n">
        <v>45806</v>
      </c>
      <c r="M89" s="6" t="inlineStr">
        <is>
          <t>Budget Cuts</t>
        </is>
      </c>
      <c r="N89" s="6" t="n">
        <v>7</v>
      </c>
      <c r="O89" s="6" t="n">
        <v>3</v>
      </c>
      <c r="P89" s="6" t="n">
        <v>20</v>
      </c>
      <c r="Q89" s="6" t="inlineStr">
        <is>
          <t>No</t>
        </is>
      </c>
      <c r="R89" s="6">
        <f>IF(K89="Yes",1,0)</f>
        <v/>
      </c>
      <c r="S89" s="6">
        <f>IF(K89="No",1,0)</f>
        <v/>
      </c>
      <c r="T89" s="6">
        <f>ROUND((IF(L89="",'Subscriptions'!$T$2,L89)-J89)/30.44,1)</f>
        <v/>
      </c>
      <c r="U89" s="6">
        <f>IF(AND(P89&lt;'Subscriptions'!$T$4,O89&lt;='Subscriptions'!$T$5),1,0)</f>
        <v/>
      </c>
    </row>
    <row r="90">
      <c r="A90" s="6" t="inlineStr">
        <is>
          <t>CUST-0089</t>
        </is>
      </c>
      <c r="B90" s="6" t="inlineStr">
        <is>
          <t>Professional</t>
        </is>
      </c>
      <c r="C90" s="6" t="inlineStr">
        <is>
          <t>Annual</t>
        </is>
      </c>
      <c r="D90" s="6" t="inlineStr">
        <is>
          <t>Healthcare</t>
        </is>
      </c>
      <c r="E90" s="6" t="inlineStr">
        <is>
          <t>201-500</t>
        </is>
      </c>
      <c r="F90" s="6" t="n">
        <v>75</v>
      </c>
      <c r="G90" s="6" t="n">
        <v>812.51</v>
      </c>
      <c r="H90" s="6" t="inlineStr">
        <is>
          <t>Organic Search</t>
        </is>
      </c>
      <c r="I90" s="6" t="inlineStr">
        <is>
          <t>Asia Pacific</t>
        </is>
      </c>
      <c r="J90" s="7" t="n">
        <v>44886</v>
      </c>
      <c r="K90" s="6" t="inlineStr">
        <is>
          <t>Yes</t>
        </is>
      </c>
      <c r="L90" s="7" t="n">
        <v>45200</v>
      </c>
      <c r="M90" s="6" t="inlineStr">
        <is>
          <t>Poor Support</t>
        </is>
      </c>
      <c r="N90" s="6" t="n">
        <v>12</v>
      </c>
      <c r="O90" s="6" t="n">
        <v>6</v>
      </c>
      <c r="P90" s="6" t="n">
        <v>20</v>
      </c>
      <c r="Q90" s="6" t="inlineStr">
        <is>
          <t>No</t>
        </is>
      </c>
      <c r="R90" s="6">
        <f>IF(K90="Yes",1,0)</f>
        <v/>
      </c>
      <c r="S90" s="6">
        <f>IF(K90="No",1,0)</f>
        <v/>
      </c>
      <c r="T90" s="6">
        <f>ROUND((IF(L90="",'Subscriptions'!$T$2,L90)-J90)/30.44,1)</f>
        <v/>
      </c>
      <c r="U90" s="6">
        <f>IF(AND(P90&lt;'Subscriptions'!$T$4,O90&lt;='Subscriptions'!$T$5),1,0)</f>
        <v/>
      </c>
    </row>
    <row r="91">
      <c r="A91" s="6" t="inlineStr">
        <is>
          <t>CUST-0090</t>
        </is>
      </c>
      <c r="B91" s="6" t="inlineStr">
        <is>
          <t>Business</t>
        </is>
      </c>
      <c r="C91" s="6" t="inlineStr">
        <is>
          <t>Annual</t>
        </is>
      </c>
      <c r="D91" s="6" t="inlineStr">
        <is>
          <t>Healthcare</t>
        </is>
      </c>
      <c r="E91" s="6" t="inlineStr">
        <is>
          <t>51-200</t>
        </is>
      </c>
      <c r="F91" s="6" t="n">
        <v>67</v>
      </c>
      <c r="G91" s="6" t="n">
        <v>1843.73</v>
      </c>
      <c r="H91" s="6" t="inlineStr">
        <is>
          <t>Paid Ads</t>
        </is>
      </c>
      <c r="I91" s="6" t="inlineStr">
        <is>
          <t>Europe</t>
        </is>
      </c>
      <c r="J91" s="7" t="n">
        <v>44648</v>
      </c>
      <c r="K91" s="6" t="inlineStr">
        <is>
          <t>Yes</t>
        </is>
      </c>
      <c r="L91" s="7" t="n">
        <v>44885</v>
      </c>
      <c r="M91" s="6" t="inlineStr">
        <is>
          <t>Switched Competitor</t>
        </is>
      </c>
      <c r="N91" s="6" t="n">
        <v>7</v>
      </c>
      <c r="O91" s="6" t="n">
        <v>1</v>
      </c>
      <c r="P91" s="6" t="n">
        <v>36</v>
      </c>
      <c r="Q91" s="6" t="inlineStr">
        <is>
          <t>No</t>
        </is>
      </c>
      <c r="R91" s="6">
        <f>IF(K91="Yes",1,0)</f>
        <v/>
      </c>
      <c r="S91" s="6">
        <f>IF(K91="No",1,0)</f>
        <v/>
      </c>
      <c r="T91" s="6">
        <f>ROUND((IF(L91="",'Subscriptions'!$T$2,L91)-J91)/30.44,1)</f>
        <v/>
      </c>
      <c r="U91" s="6">
        <f>IF(AND(P91&lt;'Subscriptions'!$T$4,O91&lt;='Subscriptions'!$T$5),1,0)</f>
        <v/>
      </c>
    </row>
    <row r="92">
      <c r="A92" s="6" t="inlineStr">
        <is>
          <t>CUST-0091</t>
        </is>
      </c>
      <c r="B92" s="6" t="inlineStr">
        <is>
          <t>Enterprise</t>
        </is>
      </c>
      <c r="C92" s="6" t="inlineStr">
        <is>
          <t>Annual</t>
        </is>
      </c>
      <c r="D92" s="6" t="inlineStr">
        <is>
          <t>Media</t>
        </is>
      </c>
      <c r="E92" s="6" t="inlineStr">
        <is>
          <t>11-50</t>
        </is>
      </c>
      <c r="F92" s="6" t="n">
        <v>20</v>
      </c>
      <c r="G92" s="6" t="n">
        <v>1632.98</v>
      </c>
      <c r="H92" s="6" t="inlineStr">
        <is>
          <t>Referral</t>
        </is>
      </c>
      <c r="I92" s="6" t="inlineStr">
        <is>
          <t>North America</t>
        </is>
      </c>
      <c r="J92" s="7" t="n">
        <v>45596</v>
      </c>
      <c r="K92" s="6" t="inlineStr">
        <is>
          <t>Yes</t>
        </is>
      </c>
      <c r="L92" s="7" t="n">
        <v>45710</v>
      </c>
      <c r="M92" s="6" t="inlineStr">
        <is>
          <t>Company Closed</t>
        </is>
      </c>
      <c r="N92" s="6" t="n">
        <v>13</v>
      </c>
      <c r="O92" s="6" t="n">
        <v>2</v>
      </c>
      <c r="P92" s="6" t="n">
        <v>42</v>
      </c>
      <c r="Q92" s="6" t="inlineStr">
        <is>
          <t>No</t>
        </is>
      </c>
      <c r="R92" s="6">
        <f>IF(K92="Yes",1,0)</f>
        <v/>
      </c>
      <c r="S92" s="6">
        <f>IF(K92="No",1,0)</f>
        <v/>
      </c>
      <c r="T92" s="6">
        <f>ROUND((IF(L92="",'Subscriptions'!$T$2,L92)-J92)/30.44,1)</f>
        <v/>
      </c>
      <c r="U92" s="6">
        <f>IF(AND(P92&lt;'Subscriptions'!$T$4,O92&lt;='Subscriptions'!$T$5),1,0)</f>
        <v/>
      </c>
    </row>
    <row r="93">
      <c r="A93" s="6" t="inlineStr">
        <is>
          <t>CUST-0092</t>
        </is>
      </c>
      <c r="B93" s="6" t="inlineStr">
        <is>
          <t>Starter</t>
        </is>
      </c>
      <c r="C93" s="6" t="inlineStr">
        <is>
          <t>Monthly</t>
        </is>
      </c>
      <c r="D93" s="6" t="inlineStr">
        <is>
          <t>Consulting</t>
        </is>
      </c>
      <c r="E93" s="6" t="inlineStr">
        <is>
          <t>1-10</t>
        </is>
      </c>
      <c r="F93" s="6" t="n">
        <v>5</v>
      </c>
      <c r="G93" s="6" t="n">
        <v>46.4</v>
      </c>
      <c r="H93" s="6" t="inlineStr">
        <is>
          <t>Partner</t>
        </is>
      </c>
      <c r="I93" s="6" t="inlineStr">
        <is>
          <t>Asia Pacific</t>
        </is>
      </c>
      <c r="J93" s="7" t="n">
        <v>45732</v>
      </c>
      <c r="K93" s="6" t="inlineStr">
        <is>
          <t>No</t>
        </is>
      </c>
      <c r="L93" s="7" t="n"/>
      <c r="M93" s="6" t="n"/>
      <c r="N93" s="6" t="n">
        <v>7</v>
      </c>
      <c r="O93" s="6" t="n">
        <v>7</v>
      </c>
      <c r="P93" s="6" t="n">
        <v>41</v>
      </c>
      <c r="Q93" s="6" t="inlineStr">
        <is>
          <t>No</t>
        </is>
      </c>
      <c r="R93" s="6">
        <f>IF(K93="Yes",1,0)</f>
        <v/>
      </c>
      <c r="S93" s="6">
        <f>IF(K93="No",1,0)</f>
        <v/>
      </c>
      <c r="T93" s="6">
        <f>ROUND((IF(L93="",'Subscriptions'!$T$2,L93)-J93)/30.44,1)</f>
        <v/>
      </c>
      <c r="U93" s="6">
        <f>IF(AND(P93&lt;'Subscriptions'!$T$4,O93&lt;='Subscriptions'!$T$5),1,0)</f>
        <v/>
      </c>
    </row>
    <row r="94">
      <c r="A94" s="6" t="inlineStr">
        <is>
          <t>CUST-0093</t>
        </is>
      </c>
      <c r="B94" s="6" t="inlineStr">
        <is>
          <t>Starter</t>
        </is>
      </c>
      <c r="C94" s="6" t="inlineStr">
        <is>
          <t>Monthly</t>
        </is>
      </c>
      <c r="D94" s="6" t="inlineStr">
        <is>
          <t>Manufacturing</t>
        </is>
      </c>
      <c r="E94" s="6" t="inlineStr">
        <is>
          <t>1-10</t>
        </is>
      </c>
      <c r="F94" s="6" t="n">
        <v>7</v>
      </c>
      <c r="G94" s="6" t="n">
        <v>55.1</v>
      </c>
      <c r="H94" s="6" t="inlineStr">
        <is>
          <t>Direct Sales</t>
        </is>
      </c>
      <c r="I94" s="6" t="inlineStr">
        <is>
          <t>North America</t>
        </is>
      </c>
      <c r="J94" s="7" t="n">
        <v>45960</v>
      </c>
      <c r="K94" s="6" t="inlineStr">
        <is>
          <t>No</t>
        </is>
      </c>
      <c r="L94" s="7" t="n"/>
      <c r="M94" s="6" t="n"/>
      <c r="N94" s="6" t="n">
        <v>2</v>
      </c>
      <c r="O94" s="6" t="n">
        <v>10</v>
      </c>
      <c r="P94" s="6" t="n">
        <v>63</v>
      </c>
      <c r="Q94" s="6" t="inlineStr">
        <is>
          <t>No</t>
        </is>
      </c>
      <c r="R94" s="6">
        <f>IF(K94="Yes",1,0)</f>
        <v/>
      </c>
      <c r="S94" s="6">
        <f>IF(K94="No",1,0)</f>
        <v/>
      </c>
      <c r="T94" s="6">
        <f>ROUND((IF(L94="",'Subscriptions'!$T$2,L94)-J94)/30.44,1)</f>
        <v/>
      </c>
      <c r="U94" s="6">
        <f>IF(AND(P94&lt;'Subscriptions'!$T$4,O94&lt;='Subscriptions'!$T$5),1,0)</f>
        <v/>
      </c>
    </row>
    <row r="95">
      <c r="A95" s="6" t="inlineStr">
        <is>
          <t>CUST-0094</t>
        </is>
      </c>
      <c r="B95" s="6" t="inlineStr">
        <is>
          <t>Business</t>
        </is>
      </c>
      <c r="C95" s="6" t="inlineStr">
        <is>
          <t>Monthly</t>
        </is>
      </c>
      <c r="D95" s="6" t="inlineStr">
        <is>
          <t>Education</t>
        </is>
      </c>
      <c r="E95" s="6" t="inlineStr">
        <is>
          <t>500+</t>
        </is>
      </c>
      <c r="F95" s="6" t="n">
        <v>234</v>
      </c>
      <c r="G95" s="6" t="n">
        <v>7154.05</v>
      </c>
      <c r="H95" s="6" t="inlineStr">
        <is>
          <t>Partner</t>
        </is>
      </c>
      <c r="I95" s="6" t="inlineStr">
        <is>
          <t>North America</t>
        </is>
      </c>
      <c r="J95" s="7" t="n">
        <v>44771</v>
      </c>
      <c r="K95" s="6" t="inlineStr">
        <is>
          <t>Yes</t>
        </is>
      </c>
      <c r="L95" s="7" t="n">
        <v>45930</v>
      </c>
      <c r="M95" s="6" t="inlineStr">
        <is>
          <t>Poor Support</t>
        </is>
      </c>
      <c r="N95" s="6" t="n">
        <v>4</v>
      </c>
      <c r="O95" s="6" t="n">
        <v>6</v>
      </c>
      <c r="P95" s="6" t="n">
        <v>14</v>
      </c>
      <c r="Q95" s="6" t="inlineStr">
        <is>
          <t>No</t>
        </is>
      </c>
      <c r="R95" s="6">
        <f>IF(K95="Yes",1,0)</f>
        <v/>
      </c>
      <c r="S95" s="6">
        <f>IF(K95="No",1,0)</f>
        <v/>
      </c>
      <c r="T95" s="6">
        <f>ROUND((IF(L95="",'Subscriptions'!$T$2,L95)-J95)/30.44,1)</f>
        <v/>
      </c>
      <c r="U95" s="6">
        <f>IF(AND(P95&lt;'Subscriptions'!$T$4,O95&lt;='Subscriptions'!$T$5),1,0)</f>
        <v/>
      </c>
    </row>
    <row r="96">
      <c r="A96" s="6" t="inlineStr">
        <is>
          <t>CUST-0095</t>
        </is>
      </c>
      <c r="B96" s="6" t="inlineStr">
        <is>
          <t>Professional</t>
        </is>
      </c>
      <c r="C96" s="6" t="inlineStr">
        <is>
          <t>Monthly</t>
        </is>
      </c>
      <c r="D96" s="6" t="inlineStr">
        <is>
          <t>Finance</t>
        </is>
      </c>
      <c r="E96" s="6" t="inlineStr">
        <is>
          <t>11-50</t>
        </is>
      </c>
      <c r="F96" s="6" t="n">
        <v>14</v>
      </c>
      <c r="G96" s="6" t="n">
        <v>233.05</v>
      </c>
      <c r="H96" s="6" t="inlineStr">
        <is>
          <t>Paid Ads</t>
        </is>
      </c>
      <c r="I96" s="6" t="inlineStr">
        <is>
          <t>North America</t>
        </is>
      </c>
      <c r="J96" s="7" t="n">
        <v>44859</v>
      </c>
      <c r="K96" s="6" t="inlineStr">
        <is>
          <t>Yes</t>
        </is>
      </c>
      <c r="L96" s="7" t="n">
        <v>45025</v>
      </c>
      <c r="M96" s="6" t="inlineStr">
        <is>
          <t>Budget Cuts</t>
        </is>
      </c>
      <c r="N96" s="6" t="n">
        <v>5</v>
      </c>
      <c r="O96" s="6" t="n">
        <v>6</v>
      </c>
      <c r="P96" s="6" t="n">
        <v>11</v>
      </c>
      <c r="Q96" s="6" t="inlineStr">
        <is>
          <t>No</t>
        </is>
      </c>
      <c r="R96" s="6">
        <f>IF(K96="Yes",1,0)</f>
        <v/>
      </c>
      <c r="S96" s="6">
        <f>IF(K96="No",1,0)</f>
        <v/>
      </c>
      <c r="T96" s="6">
        <f>ROUND((IF(L96="",'Subscriptions'!$T$2,L96)-J96)/30.44,1)</f>
        <v/>
      </c>
      <c r="U96" s="6">
        <f>IF(AND(P96&lt;'Subscriptions'!$T$4,O96&lt;='Subscriptions'!$T$5),1,0)</f>
        <v/>
      </c>
    </row>
    <row r="97">
      <c r="A97" s="6" t="inlineStr">
        <is>
          <t>CUST-0096</t>
        </is>
      </c>
      <c r="B97" s="6" t="inlineStr">
        <is>
          <t>Starter</t>
        </is>
      </c>
      <c r="C97" s="6" t="inlineStr">
        <is>
          <t>Monthly</t>
        </is>
      </c>
      <c r="D97" s="6" t="inlineStr">
        <is>
          <t>Legal</t>
        </is>
      </c>
      <c r="E97" s="6" t="inlineStr">
        <is>
          <t>11-50</t>
        </is>
      </c>
      <c r="F97" s="6" t="n">
        <v>15</v>
      </c>
      <c r="G97" s="6" t="n">
        <v>89.90000000000001</v>
      </c>
      <c r="H97" s="6" t="inlineStr">
        <is>
          <t>Direct Sales</t>
        </is>
      </c>
      <c r="I97" s="6" t="inlineStr">
        <is>
          <t>North America</t>
        </is>
      </c>
      <c r="J97" s="7" t="n">
        <v>45169</v>
      </c>
      <c r="K97" s="6" t="inlineStr">
        <is>
          <t>Yes</t>
        </is>
      </c>
      <c r="L97" s="7" t="n">
        <v>45195</v>
      </c>
      <c r="M97" s="6" t="inlineStr">
        <is>
          <t>Price Too High</t>
        </is>
      </c>
      <c r="N97" s="6" t="n">
        <v>12</v>
      </c>
      <c r="O97" s="6" t="n">
        <v>1</v>
      </c>
      <c r="P97" s="6" t="n">
        <v>12</v>
      </c>
      <c r="Q97" s="6" t="inlineStr">
        <is>
          <t>No</t>
        </is>
      </c>
      <c r="R97" s="6">
        <f>IF(K97="Yes",1,0)</f>
        <v/>
      </c>
      <c r="S97" s="6">
        <f>IF(K97="No",1,0)</f>
        <v/>
      </c>
      <c r="T97" s="6">
        <f>ROUND((IF(L97="",'Subscriptions'!$T$2,L97)-J97)/30.44,1)</f>
        <v/>
      </c>
      <c r="U97" s="6">
        <f>IF(AND(P97&lt;'Subscriptions'!$T$4,O97&lt;='Subscriptions'!$T$5),1,0)</f>
        <v/>
      </c>
    </row>
    <row r="98">
      <c r="A98" s="6" t="inlineStr">
        <is>
          <t>CUST-0097</t>
        </is>
      </c>
      <c r="B98" s="6" t="inlineStr">
        <is>
          <t>Enterprise</t>
        </is>
      </c>
      <c r="C98" s="6" t="inlineStr">
        <is>
          <t>Monthly</t>
        </is>
      </c>
      <c r="D98" s="6" t="inlineStr">
        <is>
          <t>Education</t>
        </is>
      </c>
      <c r="E98" s="6" t="inlineStr">
        <is>
          <t>51-200</t>
        </is>
      </c>
      <c r="F98" s="6" t="n">
        <v>31</v>
      </c>
      <c r="G98" s="6" t="n">
        <v>2744.5</v>
      </c>
      <c r="H98" s="6" t="inlineStr">
        <is>
          <t>Organic Search</t>
        </is>
      </c>
      <c r="I98" s="6" t="inlineStr">
        <is>
          <t>North America</t>
        </is>
      </c>
      <c r="J98" s="7" t="n">
        <v>45215</v>
      </c>
      <c r="K98" s="6" t="inlineStr">
        <is>
          <t>No</t>
        </is>
      </c>
      <c r="L98" s="7" t="n"/>
      <c r="M98" s="6" t="n"/>
      <c r="N98" s="6" t="n">
        <v>1</v>
      </c>
      <c r="O98" s="6" t="n">
        <v>1</v>
      </c>
      <c r="P98" s="6" t="n">
        <v>22</v>
      </c>
      <c r="Q98" s="6" t="inlineStr">
        <is>
          <t>No</t>
        </is>
      </c>
      <c r="R98" s="6">
        <f>IF(K98="Yes",1,0)</f>
        <v/>
      </c>
      <c r="S98" s="6">
        <f>IF(K98="No",1,0)</f>
        <v/>
      </c>
      <c r="T98" s="6">
        <f>ROUND((IF(L98="",'Subscriptions'!$T$2,L98)-J98)/30.44,1)</f>
        <v/>
      </c>
      <c r="U98" s="6">
        <f>IF(AND(P98&lt;'Subscriptions'!$T$4,O98&lt;='Subscriptions'!$T$5),1,0)</f>
        <v/>
      </c>
    </row>
    <row r="99">
      <c r="A99" s="6" t="inlineStr">
        <is>
          <t>CUST-0098</t>
        </is>
      </c>
      <c r="B99" s="6" t="inlineStr">
        <is>
          <t>Professional</t>
        </is>
      </c>
      <c r="C99" s="6" t="inlineStr">
        <is>
          <t>Annual</t>
        </is>
      </c>
      <c r="D99" s="6" t="inlineStr">
        <is>
          <t>Consulting</t>
        </is>
      </c>
      <c r="E99" s="6" t="inlineStr">
        <is>
          <t>1-10</t>
        </is>
      </c>
      <c r="F99" s="6" t="n">
        <v>8</v>
      </c>
      <c r="G99" s="6" t="n">
        <v>137.66</v>
      </c>
      <c r="H99" s="6" t="inlineStr">
        <is>
          <t>Organic Search</t>
        </is>
      </c>
      <c r="I99" s="6" t="inlineStr">
        <is>
          <t>North America</t>
        </is>
      </c>
      <c r="J99" s="7" t="n">
        <v>45989</v>
      </c>
      <c r="K99" s="6" t="inlineStr">
        <is>
          <t>Yes</t>
        </is>
      </c>
      <c r="L99" s="7" t="n">
        <v>46005</v>
      </c>
      <c r="M99" s="6" t="inlineStr">
        <is>
          <t>Company Closed</t>
        </is>
      </c>
      <c r="N99" s="6" t="n">
        <v>10</v>
      </c>
      <c r="O99" s="6" t="n">
        <v>6</v>
      </c>
      <c r="P99" s="6" t="n">
        <v>43</v>
      </c>
      <c r="Q99" s="6" t="inlineStr">
        <is>
          <t>No</t>
        </is>
      </c>
      <c r="R99" s="6">
        <f>IF(K99="Yes",1,0)</f>
        <v/>
      </c>
      <c r="S99" s="6">
        <f>IF(K99="No",1,0)</f>
        <v/>
      </c>
      <c r="T99" s="6">
        <f>ROUND((IF(L99="",'Subscriptions'!$T$2,L99)-J99)/30.44,1)</f>
        <v/>
      </c>
      <c r="U99" s="6">
        <f>IF(AND(P99&lt;'Subscriptions'!$T$4,O99&lt;='Subscriptions'!$T$5),1,0)</f>
        <v/>
      </c>
    </row>
    <row r="100">
      <c r="A100" s="6" t="inlineStr">
        <is>
          <t>CUST-0099</t>
        </is>
      </c>
      <c r="B100" s="6" t="inlineStr">
        <is>
          <t>Enterprise</t>
        </is>
      </c>
      <c r="C100" s="6" t="inlineStr">
        <is>
          <t>Monthly</t>
        </is>
      </c>
      <c r="D100" s="6" t="inlineStr">
        <is>
          <t>Manufacturing</t>
        </is>
      </c>
      <c r="E100" s="6" t="inlineStr">
        <is>
          <t>11-50</t>
        </is>
      </c>
      <c r="F100" s="6" t="n">
        <v>6</v>
      </c>
      <c r="G100" s="6" t="n">
        <v>873.25</v>
      </c>
      <c r="H100" s="6" t="inlineStr">
        <is>
          <t>Organic Search</t>
        </is>
      </c>
      <c r="I100" s="6" t="inlineStr">
        <is>
          <t>Asia Pacific</t>
        </is>
      </c>
      <c r="J100" s="7" t="n">
        <v>44792</v>
      </c>
      <c r="K100" s="6" t="inlineStr">
        <is>
          <t>No</t>
        </is>
      </c>
      <c r="L100" s="7" t="n"/>
      <c r="M100" s="6" t="n"/>
      <c r="N100" s="6" t="n">
        <v>3</v>
      </c>
      <c r="O100" s="6" t="n">
        <v>4</v>
      </c>
      <c r="P100" s="6" t="n">
        <v>70</v>
      </c>
      <c r="Q100" s="6" t="inlineStr">
        <is>
          <t>No</t>
        </is>
      </c>
      <c r="R100" s="6">
        <f>IF(K100="Yes",1,0)</f>
        <v/>
      </c>
      <c r="S100" s="6">
        <f>IF(K100="No",1,0)</f>
        <v/>
      </c>
      <c r="T100" s="6">
        <f>ROUND((IF(L100="",'Subscriptions'!$T$2,L100)-J100)/30.44,1)</f>
        <v/>
      </c>
      <c r="U100" s="6">
        <f>IF(AND(P100&lt;'Subscriptions'!$T$4,O100&lt;='Subscriptions'!$T$5),1,0)</f>
        <v/>
      </c>
    </row>
    <row r="101">
      <c r="A101" s="6" t="inlineStr">
        <is>
          <t>CUST-0100</t>
        </is>
      </c>
      <c r="B101" s="6" t="inlineStr">
        <is>
          <t>Business</t>
        </is>
      </c>
      <c r="C101" s="6" t="inlineStr">
        <is>
          <t>Monthly</t>
        </is>
      </c>
      <c r="D101" s="6" t="inlineStr">
        <is>
          <t>Real Estate</t>
        </is>
      </c>
      <c r="E101" s="6" t="inlineStr">
        <is>
          <t>11-50</t>
        </is>
      </c>
      <c r="F101" s="6" t="n">
        <v>17</v>
      </c>
      <c r="G101" s="6" t="n">
        <v>676.6</v>
      </c>
      <c r="H101" s="6" t="inlineStr">
        <is>
          <t>Paid Ads</t>
        </is>
      </c>
      <c r="I101" s="6" t="inlineStr">
        <is>
          <t>Europe</t>
        </is>
      </c>
      <c r="J101" s="7" t="n">
        <v>45088</v>
      </c>
      <c r="K101" s="6" t="inlineStr">
        <is>
          <t>No</t>
        </is>
      </c>
      <c r="L101" s="7" t="n"/>
      <c r="M101" s="6" t="n"/>
      <c r="N101" s="6" t="n">
        <v>1</v>
      </c>
      <c r="O101" s="6" t="n">
        <v>4</v>
      </c>
      <c r="P101" s="6" t="n">
        <v>17</v>
      </c>
      <c r="Q101" s="6" t="inlineStr">
        <is>
          <t>No</t>
        </is>
      </c>
      <c r="R101" s="6">
        <f>IF(K101="Yes",1,0)</f>
        <v/>
      </c>
      <c r="S101" s="6">
        <f>IF(K101="No",1,0)</f>
        <v/>
      </c>
      <c r="T101" s="6">
        <f>ROUND((IF(L101="",'Subscriptions'!$T$2,L101)-J101)/30.44,1)</f>
        <v/>
      </c>
      <c r="U101" s="6">
        <f>IF(AND(P101&lt;'Subscriptions'!$T$4,O101&lt;='Subscriptions'!$T$5),1,0)</f>
        <v/>
      </c>
    </row>
    <row r="102">
      <c r="A102" s="6" t="inlineStr">
        <is>
          <t>CUST-0101</t>
        </is>
      </c>
      <c r="B102" s="6" t="inlineStr">
        <is>
          <t>Starter</t>
        </is>
      </c>
      <c r="C102" s="6" t="inlineStr">
        <is>
          <t>Monthly</t>
        </is>
      </c>
      <c r="D102" s="6" t="inlineStr">
        <is>
          <t>Legal</t>
        </is>
      </c>
      <c r="E102" s="6" t="inlineStr">
        <is>
          <t>1-10</t>
        </is>
      </c>
      <c r="F102" s="6" t="n">
        <v>2</v>
      </c>
      <c r="G102" s="6" t="n">
        <v>33.35</v>
      </c>
      <c r="H102" s="6" t="inlineStr">
        <is>
          <t>Organic Search</t>
        </is>
      </c>
      <c r="I102" s="6" t="inlineStr">
        <is>
          <t>North America</t>
        </is>
      </c>
      <c r="J102" s="7" t="n">
        <v>45629</v>
      </c>
      <c r="K102" s="6" t="inlineStr">
        <is>
          <t>Yes</t>
        </is>
      </c>
      <c r="L102" s="7" t="n">
        <v>45685</v>
      </c>
      <c r="M102" s="6" t="inlineStr">
        <is>
          <t>Company Closed</t>
        </is>
      </c>
      <c r="N102" s="6" t="n">
        <v>6</v>
      </c>
      <c r="O102" s="6" t="n">
        <v>3</v>
      </c>
      <c r="P102" s="6" t="n">
        <v>15</v>
      </c>
      <c r="Q102" s="6" t="inlineStr">
        <is>
          <t>No</t>
        </is>
      </c>
      <c r="R102" s="6">
        <f>IF(K102="Yes",1,0)</f>
        <v/>
      </c>
      <c r="S102" s="6">
        <f>IF(K102="No",1,0)</f>
        <v/>
      </c>
      <c r="T102" s="6">
        <f>ROUND((IF(L102="",'Subscriptions'!$T$2,L102)-J102)/30.44,1)</f>
        <v/>
      </c>
      <c r="U102" s="6">
        <f>IF(AND(P102&lt;'Subscriptions'!$T$4,O102&lt;='Subscriptions'!$T$5),1,0)</f>
        <v/>
      </c>
    </row>
    <row r="103">
      <c r="A103" s="6" t="inlineStr">
        <is>
          <t>CUST-0102</t>
        </is>
      </c>
      <c r="B103" s="6" t="inlineStr">
        <is>
          <t>Professional</t>
        </is>
      </c>
      <c r="C103" s="6" t="inlineStr">
        <is>
          <t>Monthly</t>
        </is>
      </c>
      <c r="D103" s="6" t="inlineStr">
        <is>
          <t>Consulting</t>
        </is>
      </c>
      <c r="E103" s="6" t="inlineStr">
        <is>
          <t>500+</t>
        </is>
      </c>
      <c r="F103" s="6" t="n">
        <v>62</v>
      </c>
      <c r="G103" s="6" t="n">
        <v>801.85</v>
      </c>
      <c r="H103" s="6" t="inlineStr">
        <is>
          <t>Referral</t>
        </is>
      </c>
      <c r="I103" s="6" t="inlineStr">
        <is>
          <t>Latin America</t>
        </is>
      </c>
      <c r="J103" s="7" t="n">
        <v>45233</v>
      </c>
      <c r="K103" s="6" t="inlineStr">
        <is>
          <t>No</t>
        </is>
      </c>
      <c r="L103" s="7" t="n"/>
      <c r="M103" s="6" t="n"/>
      <c r="N103" s="6" t="n">
        <v>11</v>
      </c>
      <c r="O103" s="6" t="n">
        <v>7</v>
      </c>
      <c r="P103" s="6" t="n">
        <v>88</v>
      </c>
      <c r="Q103" s="6" t="inlineStr">
        <is>
          <t>No</t>
        </is>
      </c>
      <c r="R103" s="6">
        <f>IF(K103="Yes",1,0)</f>
        <v/>
      </c>
      <c r="S103" s="6">
        <f>IF(K103="No",1,0)</f>
        <v/>
      </c>
      <c r="T103" s="6">
        <f>ROUND((IF(L103="",'Subscriptions'!$T$2,L103)-J103)/30.44,1)</f>
        <v/>
      </c>
      <c r="U103" s="6">
        <f>IF(AND(P103&lt;'Subscriptions'!$T$4,O103&lt;='Subscriptions'!$T$5),1,0)</f>
        <v/>
      </c>
    </row>
    <row r="104">
      <c r="A104" s="6" t="inlineStr">
        <is>
          <t>CUST-0103</t>
        </is>
      </c>
      <c r="B104" s="6" t="inlineStr">
        <is>
          <t>Professional</t>
        </is>
      </c>
      <c r="C104" s="6" t="inlineStr">
        <is>
          <t>Monthly</t>
        </is>
      </c>
      <c r="D104" s="6" t="inlineStr">
        <is>
          <t>Consulting</t>
        </is>
      </c>
      <c r="E104" s="6" t="inlineStr">
        <is>
          <t>1-10</t>
        </is>
      </c>
      <c r="F104" s="6" t="n">
        <v>4</v>
      </c>
      <c r="G104" s="6" t="n">
        <v>114.55</v>
      </c>
      <c r="H104" s="6" t="inlineStr">
        <is>
          <t>Social Media</t>
        </is>
      </c>
      <c r="I104" s="6" t="inlineStr">
        <is>
          <t>Europe</t>
        </is>
      </c>
      <c r="J104" s="7" t="n">
        <v>45406</v>
      </c>
      <c r="K104" s="6" t="inlineStr">
        <is>
          <t>No</t>
        </is>
      </c>
      <c r="L104" s="7" t="n"/>
      <c r="M104" s="6" t="n"/>
      <c r="N104" s="6" t="n">
        <v>0</v>
      </c>
      <c r="O104" s="6" t="n">
        <v>6</v>
      </c>
      <c r="P104" s="6" t="n">
        <v>32</v>
      </c>
      <c r="Q104" s="6" t="inlineStr">
        <is>
          <t>No</t>
        </is>
      </c>
      <c r="R104" s="6">
        <f>IF(K104="Yes",1,0)</f>
        <v/>
      </c>
      <c r="S104" s="6">
        <f>IF(K104="No",1,0)</f>
        <v/>
      </c>
      <c r="T104" s="6">
        <f>ROUND((IF(L104="",'Subscriptions'!$T$2,L104)-J104)/30.44,1)</f>
        <v/>
      </c>
      <c r="U104" s="6">
        <f>IF(AND(P104&lt;'Subscriptions'!$T$4,O104&lt;='Subscriptions'!$T$5),1,0)</f>
        <v/>
      </c>
    </row>
    <row r="105">
      <c r="A105" s="6" t="inlineStr">
        <is>
          <t>CUST-0104</t>
        </is>
      </c>
      <c r="B105" s="6" t="inlineStr">
        <is>
          <t>Business</t>
        </is>
      </c>
      <c r="C105" s="6" t="inlineStr">
        <is>
          <t>Monthly</t>
        </is>
      </c>
      <c r="D105" s="6" t="inlineStr">
        <is>
          <t>Education</t>
        </is>
      </c>
      <c r="E105" s="6" t="inlineStr">
        <is>
          <t>11-50</t>
        </is>
      </c>
      <c r="F105" s="6" t="n">
        <v>17</v>
      </c>
      <c r="G105" s="6" t="n">
        <v>676.6</v>
      </c>
      <c r="H105" s="6" t="inlineStr">
        <is>
          <t>Organic Search</t>
        </is>
      </c>
      <c r="I105" s="6" t="inlineStr">
        <is>
          <t>Europe</t>
        </is>
      </c>
      <c r="J105" s="7" t="n">
        <v>45626</v>
      </c>
      <c r="K105" s="6" t="inlineStr">
        <is>
          <t>Yes</t>
        </is>
      </c>
      <c r="L105" s="7" t="n">
        <v>45808</v>
      </c>
      <c r="M105" s="6" t="inlineStr">
        <is>
          <t>Budget Cuts</t>
        </is>
      </c>
      <c r="N105" s="6" t="n">
        <v>12</v>
      </c>
      <c r="O105" s="6" t="n">
        <v>1</v>
      </c>
      <c r="P105" s="6" t="n">
        <v>30</v>
      </c>
      <c r="Q105" s="6" t="inlineStr">
        <is>
          <t>No</t>
        </is>
      </c>
      <c r="R105" s="6">
        <f>IF(K105="Yes",1,0)</f>
        <v/>
      </c>
      <c r="S105" s="6">
        <f>IF(K105="No",1,0)</f>
        <v/>
      </c>
      <c r="T105" s="6">
        <f>ROUND((IF(L105="",'Subscriptions'!$T$2,L105)-J105)/30.44,1)</f>
        <v/>
      </c>
      <c r="U105" s="6">
        <f>IF(AND(P105&lt;'Subscriptions'!$T$4,O105&lt;='Subscriptions'!$T$5),1,0)</f>
        <v/>
      </c>
    </row>
    <row r="106">
      <c r="A106" s="6" t="inlineStr">
        <is>
          <t>CUST-0105</t>
        </is>
      </c>
      <c r="B106" s="6" t="inlineStr">
        <is>
          <t>Professional</t>
        </is>
      </c>
      <c r="C106" s="6" t="inlineStr">
        <is>
          <t>Monthly</t>
        </is>
      </c>
      <c r="D106" s="6" t="inlineStr">
        <is>
          <t>Manufacturing</t>
        </is>
      </c>
      <c r="E106" s="6" t="inlineStr">
        <is>
          <t>201-500</t>
        </is>
      </c>
      <c r="F106" s="6" t="n">
        <v>42</v>
      </c>
      <c r="G106" s="6" t="n">
        <v>564.85</v>
      </c>
      <c r="H106" s="6" t="inlineStr">
        <is>
          <t>Paid Ads</t>
        </is>
      </c>
      <c r="I106" s="6" t="inlineStr">
        <is>
          <t>Latin America</t>
        </is>
      </c>
      <c r="J106" s="7" t="n">
        <v>45281</v>
      </c>
      <c r="K106" s="6" t="inlineStr">
        <is>
          <t>No</t>
        </is>
      </c>
      <c r="L106" s="7" t="n"/>
      <c r="M106" s="6" t="n"/>
      <c r="N106" s="6" t="n">
        <v>6</v>
      </c>
      <c r="O106" s="6" t="n">
        <v>5</v>
      </c>
      <c r="P106" s="6" t="n">
        <v>53</v>
      </c>
      <c r="Q106" s="6" t="inlineStr">
        <is>
          <t>Yes</t>
        </is>
      </c>
      <c r="R106" s="6">
        <f>IF(K106="Yes",1,0)</f>
        <v/>
      </c>
      <c r="S106" s="6">
        <f>IF(K106="No",1,0)</f>
        <v/>
      </c>
      <c r="T106" s="6">
        <f>ROUND((IF(L106="",'Subscriptions'!$T$2,L106)-J106)/30.44,1)</f>
        <v/>
      </c>
      <c r="U106" s="6">
        <f>IF(AND(P106&lt;'Subscriptions'!$T$4,O106&lt;='Subscriptions'!$T$5),1,0)</f>
        <v/>
      </c>
    </row>
    <row r="107">
      <c r="A107" s="6" t="inlineStr">
        <is>
          <t>CUST-0106</t>
        </is>
      </c>
      <c r="B107" s="6" t="inlineStr">
        <is>
          <t>Starter</t>
        </is>
      </c>
      <c r="C107" s="6" t="inlineStr">
        <is>
          <t>Monthly</t>
        </is>
      </c>
      <c r="D107" s="6" t="inlineStr">
        <is>
          <t>Retail</t>
        </is>
      </c>
      <c r="E107" s="6" t="inlineStr">
        <is>
          <t>1-10</t>
        </is>
      </c>
      <c r="F107" s="6" t="n">
        <v>1</v>
      </c>
      <c r="G107" s="6" t="n">
        <v>29</v>
      </c>
      <c r="H107" s="6" t="inlineStr">
        <is>
          <t>Referral</t>
        </is>
      </c>
      <c r="I107" s="6" t="inlineStr">
        <is>
          <t>Asia Pacific</t>
        </is>
      </c>
      <c r="J107" s="7" t="n">
        <v>45614</v>
      </c>
      <c r="K107" s="6" t="inlineStr">
        <is>
          <t>Yes</t>
        </is>
      </c>
      <c r="L107" s="7" t="n">
        <v>45712</v>
      </c>
      <c r="M107" s="6" t="inlineStr">
        <is>
          <t>Poor Support</t>
        </is>
      </c>
      <c r="N107" s="6" t="n">
        <v>4</v>
      </c>
      <c r="O107" s="6" t="n">
        <v>3</v>
      </c>
      <c r="P107" s="6" t="n">
        <v>20</v>
      </c>
      <c r="Q107" s="6" t="inlineStr">
        <is>
          <t>No</t>
        </is>
      </c>
      <c r="R107" s="6">
        <f>IF(K107="Yes",1,0)</f>
        <v/>
      </c>
      <c r="S107" s="6">
        <f>IF(K107="No",1,0)</f>
        <v/>
      </c>
      <c r="T107" s="6">
        <f>ROUND((IF(L107="",'Subscriptions'!$T$2,L107)-J107)/30.44,1)</f>
        <v/>
      </c>
      <c r="U107" s="6">
        <f>IF(AND(P107&lt;'Subscriptions'!$T$4,O107&lt;='Subscriptions'!$T$5),1,0)</f>
        <v/>
      </c>
    </row>
    <row r="108">
      <c r="A108" s="6" t="inlineStr">
        <is>
          <t>CUST-0107</t>
        </is>
      </c>
      <c r="B108" s="6" t="inlineStr">
        <is>
          <t>Business</t>
        </is>
      </c>
      <c r="C108" s="6" t="inlineStr">
        <is>
          <t>Monthly</t>
        </is>
      </c>
      <c r="D108" s="6" t="inlineStr">
        <is>
          <t>Legal</t>
        </is>
      </c>
      <c r="E108" s="6" t="inlineStr">
        <is>
          <t>500+</t>
        </is>
      </c>
      <c r="F108" s="6" t="n">
        <v>139</v>
      </c>
      <c r="G108" s="6" t="n">
        <v>4318.3</v>
      </c>
      <c r="H108" s="6" t="inlineStr">
        <is>
          <t>Referral</t>
        </is>
      </c>
      <c r="I108" s="6" t="inlineStr">
        <is>
          <t>Europe</t>
        </is>
      </c>
      <c r="J108" s="7" t="n">
        <v>44791</v>
      </c>
      <c r="K108" s="6" t="inlineStr">
        <is>
          <t>Yes</t>
        </is>
      </c>
      <c r="L108" s="7" t="n">
        <v>45421</v>
      </c>
      <c r="M108" s="6" t="inlineStr">
        <is>
          <t>No Longer Needed</t>
        </is>
      </c>
      <c r="N108" s="6" t="n">
        <v>11</v>
      </c>
      <c r="O108" s="6" t="n">
        <v>2</v>
      </c>
      <c r="P108" s="6" t="n">
        <v>24</v>
      </c>
      <c r="Q108" s="6" t="inlineStr">
        <is>
          <t>No</t>
        </is>
      </c>
      <c r="R108" s="6">
        <f>IF(K108="Yes",1,0)</f>
        <v/>
      </c>
      <c r="S108" s="6">
        <f>IF(K108="No",1,0)</f>
        <v/>
      </c>
      <c r="T108" s="6">
        <f>ROUND((IF(L108="",'Subscriptions'!$T$2,L108)-J108)/30.44,1)</f>
        <v/>
      </c>
      <c r="U108" s="6">
        <f>IF(AND(P108&lt;'Subscriptions'!$T$4,O108&lt;='Subscriptions'!$T$5),1,0)</f>
        <v/>
      </c>
    </row>
    <row r="109">
      <c r="A109" s="6" t="inlineStr">
        <is>
          <t>CUST-0108</t>
        </is>
      </c>
      <c r="B109" s="6" t="inlineStr">
        <is>
          <t>Business</t>
        </is>
      </c>
      <c r="C109" s="6" t="inlineStr">
        <is>
          <t>Annual</t>
        </is>
      </c>
      <c r="D109" s="6" t="inlineStr">
        <is>
          <t>Consulting</t>
        </is>
      </c>
      <c r="E109" s="6" t="inlineStr">
        <is>
          <t>51-200</t>
        </is>
      </c>
      <c r="F109" s="6" t="n">
        <v>30</v>
      </c>
      <c r="G109" s="6" t="n">
        <v>904.95</v>
      </c>
      <c r="H109" s="6" t="inlineStr">
        <is>
          <t>Organic Search</t>
        </is>
      </c>
      <c r="I109" s="6" t="inlineStr">
        <is>
          <t>North America</t>
        </is>
      </c>
      <c r="J109" s="7" t="n">
        <v>45885</v>
      </c>
      <c r="K109" s="6" t="inlineStr">
        <is>
          <t>No</t>
        </is>
      </c>
      <c r="L109" s="7" t="n"/>
      <c r="M109" s="6" t="n"/>
      <c r="N109" s="6" t="n">
        <v>11</v>
      </c>
      <c r="O109" s="6" t="n">
        <v>5</v>
      </c>
      <c r="P109" s="6" t="n">
        <v>48</v>
      </c>
      <c r="Q109" s="6" t="inlineStr">
        <is>
          <t>No</t>
        </is>
      </c>
      <c r="R109" s="6">
        <f>IF(K109="Yes",1,0)</f>
        <v/>
      </c>
      <c r="S109" s="6">
        <f>IF(K109="No",1,0)</f>
        <v/>
      </c>
      <c r="T109" s="6">
        <f>ROUND((IF(L109="",'Subscriptions'!$T$2,L109)-J109)/30.44,1)</f>
        <v/>
      </c>
      <c r="U109" s="6">
        <f>IF(AND(P109&lt;'Subscriptions'!$T$4,O109&lt;='Subscriptions'!$T$5),1,0)</f>
        <v/>
      </c>
    </row>
    <row r="110">
      <c r="A110" s="6" t="inlineStr">
        <is>
          <t>CUST-0109</t>
        </is>
      </c>
      <c r="B110" s="6" t="inlineStr">
        <is>
          <t>Business</t>
        </is>
      </c>
      <c r="C110" s="6" t="inlineStr">
        <is>
          <t>Annual</t>
        </is>
      </c>
      <c r="D110" s="6" t="inlineStr">
        <is>
          <t>Finance</t>
        </is>
      </c>
      <c r="E110" s="6" t="inlineStr">
        <is>
          <t>51-200</t>
        </is>
      </c>
      <c r="F110" s="6" t="n">
        <v>16</v>
      </c>
      <c r="G110" s="6" t="n">
        <v>549.74</v>
      </c>
      <c r="H110" s="6" t="inlineStr">
        <is>
          <t>Organic Search</t>
        </is>
      </c>
      <c r="I110" s="6" t="inlineStr">
        <is>
          <t>Asia Pacific</t>
        </is>
      </c>
      <c r="J110" s="7" t="n">
        <v>44868</v>
      </c>
      <c r="K110" s="6" t="inlineStr">
        <is>
          <t>No</t>
        </is>
      </c>
      <c r="L110" s="7" t="n"/>
      <c r="M110" s="6" t="n"/>
      <c r="N110" s="6" t="n">
        <v>0</v>
      </c>
      <c r="O110" s="6" t="n">
        <v>9</v>
      </c>
      <c r="P110" s="6" t="n">
        <v>57</v>
      </c>
      <c r="Q110" s="6" t="inlineStr">
        <is>
          <t>No</t>
        </is>
      </c>
      <c r="R110" s="6">
        <f>IF(K110="Yes",1,0)</f>
        <v/>
      </c>
      <c r="S110" s="6">
        <f>IF(K110="No",1,0)</f>
        <v/>
      </c>
      <c r="T110" s="6">
        <f>ROUND((IF(L110="",'Subscriptions'!$T$2,L110)-J110)/30.44,1)</f>
        <v/>
      </c>
      <c r="U110" s="6">
        <f>IF(AND(P110&lt;'Subscriptions'!$T$4,O110&lt;='Subscriptions'!$T$5),1,0)</f>
        <v/>
      </c>
    </row>
    <row r="111">
      <c r="A111" s="6" t="inlineStr">
        <is>
          <t>CUST-0110</t>
        </is>
      </c>
      <c r="B111" s="6" t="inlineStr">
        <is>
          <t>Professional</t>
        </is>
      </c>
      <c r="C111" s="6" t="inlineStr">
        <is>
          <t>Annual</t>
        </is>
      </c>
      <c r="D111" s="6" t="inlineStr">
        <is>
          <t>Retail</t>
        </is>
      </c>
      <c r="E111" s="6" t="inlineStr">
        <is>
          <t>201-500</t>
        </is>
      </c>
      <c r="F111" s="6" t="n">
        <v>58</v>
      </c>
      <c r="G111" s="6" t="n">
        <v>641.28</v>
      </c>
      <c r="H111" s="6" t="inlineStr">
        <is>
          <t>Referral</t>
        </is>
      </c>
      <c r="I111" s="6" t="inlineStr">
        <is>
          <t>Europe</t>
        </is>
      </c>
      <c r="J111" s="7" t="n">
        <v>45201</v>
      </c>
      <c r="K111" s="6" t="inlineStr">
        <is>
          <t>Yes</t>
        </is>
      </c>
      <c r="L111" s="7" t="n">
        <v>45778</v>
      </c>
      <c r="M111" s="6" t="inlineStr">
        <is>
          <t>Missing Features</t>
        </is>
      </c>
      <c r="N111" s="6" t="n">
        <v>12</v>
      </c>
      <c r="O111" s="6" t="n">
        <v>3</v>
      </c>
      <c r="P111" s="6" t="n">
        <v>38</v>
      </c>
      <c r="Q111" s="6" t="inlineStr">
        <is>
          <t>No</t>
        </is>
      </c>
      <c r="R111" s="6">
        <f>IF(K111="Yes",1,0)</f>
        <v/>
      </c>
      <c r="S111" s="6">
        <f>IF(K111="No",1,0)</f>
        <v/>
      </c>
      <c r="T111" s="6">
        <f>ROUND((IF(L111="",'Subscriptions'!$T$2,L111)-J111)/30.44,1)</f>
        <v/>
      </c>
      <c r="U111" s="6">
        <f>IF(AND(P111&lt;'Subscriptions'!$T$4,O111&lt;='Subscriptions'!$T$5),1,0)</f>
        <v/>
      </c>
    </row>
    <row r="112">
      <c r="A112" s="6" t="inlineStr">
        <is>
          <t>CUST-0111</t>
        </is>
      </c>
      <c r="B112" s="6" t="inlineStr">
        <is>
          <t>Starter</t>
        </is>
      </c>
      <c r="C112" s="6" t="inlineStr">
        <is>
          <t>Annual</t>
        </is>
      </c>
      <c r="D112" s="6" t="inlineStr">
        <is>
          <t>Consulting</t>
        </is>
      </c>
      <c r="E112" s="6" t="inlineStr">
        <is>
          <t>11-50</t>
        </is>
      </c>
      <c r="F112" s="6" t="n">
        <v>5</v>
      </c>
      <c r="G112" s="6" t="n">
        <v>39.44</v>
      </c>
      <c r="H112" s="6" t="inlineStr">
        <is>
          <t>Partner</t>
        </is>
      </c>
      <c r="I112" s="6" t="inlineStr">
        <is>
          <t>Europe</t>
        </is>
      </c>
      <c r="J112" s="7" t="n">
        <v>44917</v>
      </c>
      <c r="K112" s="6" t="inlineStr">
        <is>
          <t>Yes</t>
        </is>
      </c>
      <c r="L112" s="7" t="n">
        <v>45242</v>
      </c>
      <c r="M112" s="6" t="inlineStr">
        <is>
          <t>Switched Competitor</t>
        </is>
      </c>
      <c r="N112" s="6" t="n">
        <v>15</v>
      </c>
      <c r="O112" s="6" t="n">
        <v>5</v>
      </c>
      <c r="P112" s="6" t="n">
        <v>29</v>
      </c>
      <c r="Q112" s="6" t="inlineStr">
        <is>
          <t>No</t>
        </is>
      </c>
      <c r="R112" s="6">
        <f>IF(K112="Yes",1,0)</f>
        <v/>
      </c>
      <c r="S112" s="6">
        <f>IF(K112="No",1,0)</f>
        <v/>
      </c>
      <c r="T112" s="6">
        <f>ROUND((IF(L112="",'Subscriptions'!$T$2,L112)-J112)/30.44,1)</f>
        <v/>
      </c>
      <c r="U112" s="6">
        <f>IF(AND(P112&lt;'Subscriptions'!$T$4,O112&lt;='Subscriptions'!$T$5),1,0)</f>
        <v/>
      </c>
    </row>
    <row r="113">
      <c r="A113" s="6" t="inlineStr">
        <is>
          <t>CUST-0112</t>
        </is>
      </c>
      <c r="B113" s="6" t="inlineStr">
        <is>
          <t>Professional</t>
        </is>
      </c>
      <c r="C113" s="6" t="inlineStr">
        <is>
          <t>Monthly</t>
        </is>
      </c>
      <c r="D113" s="6" t="inlineStr">
        <is>
          <t>Finance</t>
        </is>
      </c>
      <c r="E113" s="6" t="inlineStr">
        <is>
          <t>201-500</t>
        </is>
      </c>
      <c r="F113" s="6" t="n">
        <v>42</v>
      </c>
      <c r="G113" s="6" t="n">
        <v>564.85</v>
      </c>
      <c r="H113" s="6" t="inlineStr">
        <is>
          <t>Direct Sales</t>
        </is>
      </c>
      <c r="I113" s="6" t="inlineStr">
        <is>
          <t>North America</t>
        </is>
      </c>
      <c r="J113" s="7" t="n">
        <v>44588</v>
      </c>
      <c r="K113" s="6" t="inlineStr">
        <is>
          <t>Yes</t>
        </is>
      </c>
      <c r="L113" s="7" t="n">
        <v>44688</v>
      </c>
      <c r="M113" s="6" t="inlineStr">
        <is>
          <t>Budget Cuts</t>
        </is>
      </c>
      <c r="N113" s="6" t="n">
        <v>7</v>
      </c>
      <c r="O113" s="6" t="n">
        <v>2</v>
      </c>
      <c r="P113" s="6" t="n">
        <v>40</v>
      </c>
      <c r="Q113" s="6" t="inlineStr">
        <is>
          <t>No</t>
        </is>
      </c>
      <c r="R113" s="6">
        <f>IF(K113="Yes",1,0)</f>
        <v/>
      </c>
      <c r="S113" s="6">
        <f>IF(K113="No",1,0)</f>
        <v/>
      </c>
      <c r="T113" s="6">
        <f>ROUND((IF(L113="",'Subscriptions'!$T$2,L113)-J113)/30.44,1)</f>
        <v/>
      </c>
      <c r="U113" s="6">
        <f>IF(AND(P113&lt;'Subscriptions'!$T$4,O113&lt;='Subscriptions'!$T$5),1,0)</f>
        <v/>
      </c>
    </row>
    <row r="114">
      <c r="A114" s="6" t="inlineStr">
        <is>
          <t>CUST-0113</t>
        </is>
      </c>
      <c r="B114" s="6" t="inlineStr">
        <is>
          <t>Business</t>
        </is>
      </c>
      <c r="C114" s="6" t="inlineStr">
        <is>
          <t>Monthly</t>
        </is>
      </c>
      <c r="D114" s="6" t="inlineStr">
        <is>
          <t>Consulting</t>
        </is>
      </c>
      <c r="E114" s="6" t="inlineStr">
        <is>
          <t>11-50</t>
        </is>
      </c>
      <c r="F114" s="6" t="n">
        <v>20</v>
      </c>
      <c r="G114" s="6" t="n">
        <v>766.15</v>
      </c>
      <c r="H114" s="6" t="inlineStr">
        <is>
          <t>Referral</t>
        </is>
      </c>
      <c r="I114" s="6" t="inlineStr">
        <is>
          <t>North America</t>
        </is>
      </c>
      <c r="J114" s="7" t="n">
        <v>45087</v>
      </c>
      <c r="K114" s="6" t="inlineStr">
        <is>
          <t>Yes</t>
        </is>
      </c>
      <c r="L114" s="7" t="n">
        <v>45230</v>
      </c>
      <c r="M114" s="6" t="inlineStr">
        <is>
          <t>Company Closed</t>
        </is>
      </c>
      <c r="N114" s="6" t="n">
        <v>3</v>
      </c>
      <c r="O114" s="6" t="n">
        <v>4</v>
      </c>
      <c r="P114" s="6" t="n">
        <v>22</v>
      </c>
      <c r="Q114" s="6" t="inlineStr">
        <is>
          <t>No</t>
        </is>
      </c>
      <c r="R114" s="6">
        <f>IF(K114="Yes",1,0)</f>
        <v/>
      </c>
      <c r="S114" s="6">
        <f>IF(K114="No",1,0)</f>
        <v/>
      </c>
      <c r="T114" s="6">
        <f>ROUND((IF(L114="",'Subscriptions'!$T$2,L114)-J114)/30.44,1)</f>
        <v/>
      </c>
      <c r="U114" s="6">
        <f>IF(AND(P114&lt;'Subscriptions'!$T$4,O114&lt;='Subscriptions'!$T$5),1,0)</f>
        <v/>
      </c>
    </row>
    <row r="115">
      <c r="A115" s="6" t="inlineStr">
        <is>
          <t>CUST-0114</t>
        </is>
      </c>
      <c r="B115" s="6" t="inlineStr">
        <is>
          <t>Starter</t>
        </is>
      </c>
      <c r="C115" s="6" t="inlineStr">
        <is>
          <t>Monthly</t>
        </is>
      </c>
      <c r="D115" s="6" t="inlineStr">
        <is>
          <t>Technology</t>
        </is>
      </c>
      <c r="E115" s="6" t="inlineStr">
        <is>
          <t>500+</t>
        </is>
      </c>
      <c r="F115" s="6" t="n">
        <v>235</v>
      </c>
      <c r="G115" s="6" t="n">
        <v>1046.9</v>
      </c>
      <c r="H115" s="6" t="inlineStr">
        <is>
          <t>Referral</t>
        </is>
      </c>
      <c r="I115" s="6" t="inlineStr">
        <is>
          <t>Asia Pacific</t>
        </is>
      </c>
      <c r="J115" s="7" t="n">
        <v>44718</v>
      </c>
      <c r="K115" s="6" t="inlineStr">
        <is>
          <t>Yes</t>
        </is>
      </c>
      <c r="L115" s="7" t="n">
        <v>44731</v>
      </c>
      <c r="M115" s="6" t="inlineStr">
        <is>
          <t>Company Closed</t>
        </is>
      </c>
      <c r="N115" s="6" t="n">
        <v>11</v>
      </c>
      <c r="O115" s="6" t="n">
        <v>1</v>
      </c>
      <c r="P115" s="6" t="n">
        <v>23</v>
      </c>
      <c r="Q115" s="6" t="inlineStr">
        <is>
          <t>No</t>
        </is>
      </c>
      <c r="R115" s="6">
        <f>IF(K115="Yes",1,0)</f>
        <v/>
      </c>
      <c r="S115" s="6">
        <f>IF(K115="No",1,0)</f>
        <v/>
      </c>
      <c r="T115" s="6">
        <f>ROUND((IF(L115="",'Subscriptions'!$T$2,L115)-J115)/30.44,1)</f>
        <v/>
      </c>
      <c r="U115" s="6">
        <f>IF(AND(P115&lt;'Subscriptions'!$T$4,O115&lt;='Subscriptions'!$T$5),1,0)</f>
        <v/>
      </c>
    </row>
    <row r="116">
      <c r="A116" s="6" t="inlineStr">
        <is>
          <t>CUST-0115</t>
        </is>
      </c>
      <c r="B116" s="6" t="inlineStr">
        <is>
          <t>Starter</t>
        </is>
      </c>
      <c r="C116" s="6" t="inlineStr">
        <is>
          <t>Annual</t>
        </is>
      </c>
      <c r="D116" s="6" t="inlineStr">
        <is>
          <t>Legal</t>
        </is>
      </c>
      <c r="E116" s="6" t="inlineStr">
        <is>
          <t>201-500</t>
        </is>
      </c>
      <c r="F116" s="6" t="n">
        <v>31</v>
      </c>
      <c r="G116" s="6" t="n">
        <v>135.57</v>
      </c>
      <c r="H116" s="6" t="inlineStr">
        <is>
          <t>Organic Search</t>
        </is>
      </c>
      <c r="I116" s="6" t="inlineStr">
        <is>
          <t>Latin America</t>
        </is>
      </c>
      <c r="J116" s="7" t="n">
        <v>45532</v>
      </c>
      <c r="K116" s="6" t="inlineStr">
        <is>
          <t>No</t>
        </is>
      </c>
      <c r="L116" s="7" t="n"/>
      <c r="M116" s="6" t="n"/>
      <c r="N116" s="6" t="n">
        <v>0</v>
      </c>
      <c r="O116" s="6" t="n">
        <v>5</v>
      </c>
      <c r="P116" s="6" t="n">
        <v>75</v>
      </c>
      <c r="Q116" s="6" t="inlineStr">
        <is>
          <t>No</t>
        </is>
      </c>
      <c r="R116" s="6">
        <f>IF(K116="Yes",1,0)</f>
        <v/>
      </c>
      <c r="S116" s="6">
        <f>IF(K116="No",1,0)</f>
        <v/>
      </c>
      <c r="T116" s="6">
        <f>ROUND((IF(L116="",'Subscriptions'!$T$2,L116)-J116)/30.44,1)</f>
        <v/>
      </c>
      <c r="U116" s="6">
        <f>IF(AND(P116&lt;'Subscriptions'!$T$4,O116&lt;='Subscriptions'!$T$5),1,0)</f>
        <v/>
      </c>
    </row>
    <row r="117">
      <c r="A117" s="6" t="inlineStr">
        <is>
          <t>CUST-0116</t>
        </is>
      </c>
      <c r="B117" s="6" t="inlineStr">
        <is>
          <t>Professional</t>
        </is>
      </c>
      <c r="C117" s="6" t="inlineStr">
        <is>
          <t>Monthly</t>
        </is>
      </c>
      <c r="D117" s="6" t="inlineStr">
        <is>
          <t>Technology</t>
        </is>
      </c>
      <c r="E117" s="6" t="inlineStr">
        <is>
          <t>51-200</t>
        </is>
      </c>
      <c r="F117" s="6" t="n">
        <v>16</v>
      </c>
      <c r="G117" s="6" t="n">
        <v>256.75</v>
      </c>
      <c r="H117" s="6" t="inlineStr">
        <is>
          <t>Organic Search</t>
        </is>
      </c>
      <c r="I117" s="6" t="inlineStr">
        <is>
          <t>North America</t>
        </is>
      </c>
      <c r="J117" s="7" t="n">
        <v>45903</v>
      </c>
      <c r="K117" s="6" t="inlineStr">
        <is>
          <t>No</t>
        </is>
      </c>
      <c r="L117" s="7" t="n"/>
      <c r="M117" s="6" t="n"/>
      <c r="N117" s="6" t="n">
        <v>0</v>
      </c>
      <c r="O117" s="6" t="n">
        <v>2</v>
      </c>
      <c r="P117" s="6" t="n">
        <v>25</v>
      </c>
      <c r="Q117" s="6" t="inlineStr">
        <is>
          <t>No</t>
        </is>
      </c>
      <c r="R117" s="6">
        <f>IF(K117="Yes",1,0)</f>
        <v/>
      </c>
      <c r="S117" s="6">
        <f>IF(K117="No",1,0)</f>
        <v/>
      </c>
      <c r="T117" s="6">
        <f>ROUND((IF(L117="",'Subscriptions'!$T$2,L117)-J117)/30.44,1)</f>
        <v/>
      </c>
      <c r="U117" s="6">
        <f>IF(AND(P117&lt;'Subscriptions'!$T$4,O117&lt;='Subscriptions'!$T$5),1,0)</f>
        <v/>
      </c>
    </row>
    <row r="118">
      <c r="A118" s="6" t="inlineStr">
        <is>
          <t>CUST-0117</t>
        </is>
      </c>
      <c r="B118" s="6" t="inlineStr">
        <is>
          <t>Professional</t>
        </is>
      </c>
      <c r="C118" s="6" t="inlineStr">
        <is>
          <t>Annual</t>
        </is>
      </c>
      <c r="D118" s="6" t="inlineStr">
        <is>
          <t>Media</t>
        </is>
      </c>
      <c r="E118" s="6" t="inlineStr">
        <is>
          <t>51-200</t>
        </is>
      </c>
      <c r="F118" s="6" t="n">
        <v>25</v>
      </c>
      <c r="G118" s="6" t="n">
        <v>308.89</v>
      </c>
      <c r="H118" s="6" t="inlineStr">
        <is>
          <t>Paid Ads</t>
        </is>
      </c>
      <c r="I118" s="6" t="inlineStr">
        <is>
          <t>Asia Pacific</t>
        </is>
      </c>
      <c r="J118" s="7" t="n">
        <v>45364</v>
      </c>
      <c r="K118" s="6" t="inlineStr">
        <is>
          <t>Yes</t>
        </is>
      </c>
      <c r="L118" s="7" t="n">
        <v>45822</v>
      </c>
      <c r="M118" s="6" t="inlineStr">
        <is>
          <t>Budget Cuts</t>
        </is>
      </c>
      <c r="N118" s="6" t="n">
        <v>0</v>
      </c>
      <c r="O118" s="6" t="n">
        <v>2</v>
      </c>
      <c r="P118" s="6" t="n">
        <v>28</v>
      </c>
      <c r="Q118" s="6" t="inlineStr">
        <is>
          <t>No</t>
        </is>
      </c>
      <c r="R118" s="6">
        <f>IF(K118="Yes",1,0)</f>
        <v/>
      </c>
      <c r="S118" s="6">
        <f>IF(K118="No",1,0)</f>
        <v/>
      </c>
      <c r="T118" s="6">
        <f>ROUND((IF(L118="",'Subscriptions'!$T$2,L118)-J118)/30.44,1)</f>
        <v/>
      </c>
      <c r="U118" s="6">
        <f>IF(AND(P118&lt;'Subscriptions'!$T$4,O118&lt;='Subscriptions'!$T$5),1,0)</f>
        <v/>
      </c>
    </row>
    <row r="119">
      <c r="A119" s="6" t="inlineStr">
        <is>
          <t>CUST-0118</t>
        </is>
      </c>
      <c r="B119" s="6" t="inlineStr">
        <is>
          <t>Professional</t>
        </is>
      </c>
      <c r="C119" s="6" t="inlineStr">
        <is>
          <t>Monthly</t>
        </is>
      </c>
      <c r="D119" s="6" t="inlineStr">
        <is>
          <t>Manufacturing</t>
        </is>
      </c>
      <c r="E119" s="6" t="inlineStr">
        <is>
          <t>11-50</t>
        </is>
      </c>
      <c r="F119" s="6" t="n">
        <v>17</v>
      </c>
      <c r="G119" s="6" t="n">
        <v>268.6</v>
      </c>
      <c r="H119" s="6" t="inlineStr">
        <is>
          <t>Partner</t>
        </is>
      </c>
      <c r="I119" s="6" t="inlineStr">
        <is>
          <t>Europe</t>
        </is>
      </c>
      <c r="J119" s="7" t="n">
        <v>45657</v>
      </c>
      <c r="K119" s="6" t="inlineStr">
        <is>
          <t>Yes</t>
        </is>
      </c>
      <c r="L119" s="7" t="n">
        <v>45730</v>
      </c>
      <c r="M119" s="6" t="inlineStr">
        <is>
          <t>No Longer Needed</t>
        </is>
      </c>
      <c r="N119" s="6" t="n">
        <v>0</v>
      </c>
      <c r="O119" s="6" t="n">
        <v>5</v>
      </c>
      <c r="P119" s="6" t="n">
        <v>25</v>
      </c>
      <c r="Q119" s="6" t="inlineStr">
        <is>
          <t>No</t>
        </is>
      </c>
      <c r="R119" s="6">
        <f>IF(K119="Yes",1,0)</f>
        <v/>
      </c>
      <c r="S119" s="6">
        <f>IF(K119="No",1,0)</f>
        <v/>
      </c>
      <c r="T119" s="6">
        <f>ROUND((IF(L119="",'Subscriptions'!$T$2,L119)-J119)/30.44,1)</f>
        <v/>
      </c>
      <c r="U119" s="6">
        <f>IF(AND(P119&lt;'Subscriptions'!$T$4,O119&lt;='Subscriptions'!$T$5),1,0)</f>
        <v/>
      </c>
    </row>
    <row r="120">
      <c r="A120" s="6" t="inlineStr">
        <is>
          <t>CUST-0119</t>
        </is>
      </c>
      <c r="B120" s="6" t="inlineStr">
        <is>
          <t>Professional</t>
        </is>
      </c>
      <c r="C120" s="6" t="inlineStr">
        <is>
          <t>Monthly</t>
        </is>
      </c>
      <c r="D120" s="6" t="inlineStr">
        <is>
          <t>Education</t>
        </is>
      </c>
      <c r="E120" s="6" t="inlineStr">
        <is>
          <t>11-50</t>
        </is>
      </c>
      <c r="F120" s="6" t="n">
        <v>28</v>
      </c>
      <c r="G120" s="6" t="n">
        <v>398.95</v>
      </c>
      <c r="H120" s="6" t="inlineStr">
        <is>
          <t>Organic Search</t>
        </is>
      </c>
      <c r="I120" s="6" t="inlineStr">
        <is>
          <t>North America</t>
        </is>
      </c>
      <c r="J120" s="7" t="n">
        <v>44866</v>
      </c>
      <c r="K120" s="6" t="inlineStr">
        <is>
          <t>No</t>
        </is>
      </c>
      <c r="L120" s="7" t="n"/>
      <c r="M120" s="6" t="n"/>
      <c r="N120" s="6" t="n">
        <v>9</v>
      </c>
      <c r="O120" s="6" t="n">
        <v>8</v>
      </c>
      <c r="P120" s="6" t="n">
        <v>44</v>
      </c>
      <c r="Q120" s="6" t="inlineStr">
        <is>
          <t>No</t>
        </is>
      </c>
      <c r="R120" s="6">
        <f>IF(K120="Yes",1,0)</f>
        <v/>
      </c>
      <c r="S120" s="6">
        <f>IF(K120="No",1,0)</f>
        <v/>
      </c>
      <c r="T120" s="6">
        <f>ROUND((IF(L120="",'Subscriptions'!$T$2,L120)-J120)/30.44,1)</f>
        <v/>
      </c>
      <c r="U120" s="6">
        <f>IF(AND(P120&lt;'Subscriptions'!$T$4,O120&lt;='Subscriptions'!$T$5),1,0)</f>
        <v/>
      </c>
    </row>
    <row r="121">
      <c r="A121" s="6" t="inlineStr">
        <is>
          <t>CUST-0120</t>
        </is>
      </c>
      <c r="B121" s="6" t="inlineStr">
        <is>
          <t>Professional</t>
        </is>
      </c>
      <c r="C121" s="6" t="inlineStr">
        <is>
          <t>Annual</t>
        </is>
      </c>
      <c r="D121" s="6" t="inlineStr">
        <is>
          <t>Finance</t>
        </is>
      </c>
      <c r="E121" s="6" t="inlineStr">
        <is>
          <t>1-10</t>
        </is>
      </c>
      <c r="F121" s="6" t="n">
        <v>2</v>
      </c>
      <c r="G121" s="6" t="n">
        <v>77.22</v>
      </c>
      <c r="H121" s="6" t="inlineStr">
        <is>
          <t>Partner</t>
        </is>
      </c>
      <c r="I121" s="6" t="inlineStr">
        <is>
          <t>North America</t>
        </is>
      </c>
      <c r="J121" s="7" t="n">
        <v>44646</v>
      </c>
      <c r="K121" s="6" t="inlineStr">
        <is>
          <t>No</t>
        </is>
      </c>
      <c r="L121" s="7" t="n"/>
      <c r="M121" s="6" t="n"/>
      <c r="N121" s="6" t="n">
        <v>3</v>
      </c>
      <c r="O121" s="6" t="n">
        <v>4</v>
      </c>
      <c r="P121" s="6" t="n">
        <v>22</v>
      </c>
      <c r="Q121" s="6" t="inlineStr">
        <is>
          <t>No</t>
        </is>
      </c>
      <c r="R121" s="6">
        <f>IF(K121="Yes",1,0)</f>
        <v/>
      </c>
      <c r="S121" s="6">
        <f>IF(K121="No",1,0)</f>
        <v/>
      </c>
      <c r="T121" s="6">
        <f>ROUND((IF(L121="",'Subscriptions'!$T$2,L121)-J121)/30.44,1)</f>
        <v/>
      </c>
      <c r="U121" s="6">
        <f>IF(AND(P121&lt;'Subscriptions'!$T$4,O121&lt;='Subscriptions'!$T$5),1,0)</f>
        <v/>
      </c>
    </row>
    <row r="122">
      <c r="A122" s="6" t="inlineStr">
        <is>
          <t>CUST-0121</t>
        </is>
      </c>
      <c r="B122" s="6" t="inlineStr">
        <is>
          <t>Starter</t>
        </is>
      </c>
      <c r="C122" s="6" t="inlineStr">
        <is>
          <t>Annual</t>
        </is>
      </c>
      <c r="D122" s="6" t="inlineStr">
        <is>
          <t>Media</t>
        </is>
      </c>
      <c r="E122" s="6" t="inlineStr">
        <is>
          <t>11-50</t>
        </is>
      </c>
      <c r="F122" s="6" t="n">
        <v>32</v>
      </c>
      <c r="G122" s="6" t="n">
        <v>139.27</v>
      </c>
      <c r="H122" s="6" t="inlineStr">
        <is>
          <t>Organic Search</t>
        </is>
      </c>
      <c r="I122" s="6" t="inlineStr">
        <is>
          <t>North America</t>
        </is>
      </c>
      <c r="J122" s="7" t="n">
        <v>45856</v>
      </c>
      <c r="K122" s="6" t="inlineStr">
        <is>
          <t>No</t>
        </is>
      </c>
      <c r="L122" s="7" t="n"/>
      <c r="M122" s="6" t="n"/>
      <c r="N122" s="6" t="n">
        <v>6</v>
      </c>
      <c r="O122" s="6" t="n">
        <v>2</v>
      </c>
      <c r="P122" s="6" t="n">
        <v>81</v>
      </c>
      <c r="Q122" s="6" t="inlineStr">
        <is>
          <t>No</t>
        </is>
      </c>
      <c r="R122" s="6">
        <f>IF(K122="Yes",1,0)</f>
        <v/>
      </c>
      <c r="S122" s="6">
        <f>IF(K122="No",1,0)</f>
        <v/>
      </c>
      <c r="T122" s="6">
        <f>ROUND((IF(L122="",'Subscriptions'!$T$2,L122)-J122)/30.44,1)</f>
        <v/>
      </c>
      <c r="U122" s="6">
        <f>IF(AND(P122&lt;'Subscriptions'!$T$4,O122&lt;='Subscriptions'!$T$5),1,0)</f>
        <v/>
      </c>
    </row>
    <row r="123">
      <c r="A123" s="6" t="inlineStr">
        <is>
          <t>CUST-0122</t>
        </is>
      </c>
      <c r="B123" s="6" t="inlineStr">
        <is>
          <t>Business</t>
        </is>
      </c>
      <c r="C123" s="6" t="inlineStr">
        <is>
          <t>Monthly</t>
        </is>
      </c>
      <c r="D123" s="6" t="inlineStr">
        <is>
          <t>Manufacturing</t>
        </is>
      </c>
      <c r="E123" s="6" t="inlineStr">
        <is>
          <t>51-200</t>
        </is>
      </c>
      <c r="F123" s="6" t="n">
        <v>72</v>
      </c>
      <c r="G123" s="6" t="n">
        <v>2318.35</v>
      </c>
      <c r="H123" s="6" t="inlineStr">
        <is>
          <t>Paid Ads</t>
        </is>
      </c>
      <c r="I123" s="6" t="inlineStr">
        <is>
          <t>North America</t>
        </is>
      </c>
      <c r="J123" s="7" t="n">
        <v>45480</v>
      </c>
      <c r="K123" s="6" t="inlineStr">
        <is>
          <t>No</t>
        </is>
      </c>
      <c r="L123" s="7" t="n"/>
      <c r="M123" s="6" t="n"/>
      <c r="N123" s="6" t="n">
        <v>4</v>
      </c>
      <c r="O123" s="6" t="n">
        <v>7</v>
      </c>
      <c r="P123" s="6" t="n">
        <v>50</v>
      </c>
      <c r="Q123" s="6" t="inlineStr">
        <is>
          <t>Yes</t>
        </is>
      </c>
      <c r="R123" s="6">
        <f>IF(K123="Yes",1,0)</f>
        <v/>
      </c>
      <c r="S123" s="6">
        <f>IF(K123="No",1,0)</f>
        <v/>
      </c>
      <c r="T123" s="6">
        <f>ROUND((IF(L123="",'Subscriptions'!$T$2,L123)-J123)/30.44,1)</f>
        <v/>
      </c>
      <c r="U123" s="6">
        <f>IF(AND(P123&lt;'Subscriptions'!$T$4,O123&lt;='Subscriptions'!$T$5),1,0)</f>
        <v/>
      </c>
    </row>
    <row r="124">
      <c r="A124" s="6" t="inlineStr">
        <is>
          <t>CUST-0123</t>
        </is>
      </c>
      <c r="B124" s="6" t="inlineStr">
        <is>
          <t>Starter</t>
        </is>
      </c>
      <c r="C124" s="6" t="inlineStr">
        <is>
          <t>Annual</t>
        </is>
      </c>
      <c r="D124" s="6" t="inlineStr">
        <is>
          <t>Healthcare</t>
        </is>
      </c>
      <c r="E124" s="6" t="inlineStr">
        <is>
          <t>51-200</t>
        </is>
      </c>
      <c r="F124" s="6" t="n">
        <v>26</v>
      </c>
      <c r="G124" s="6" t="n">
        <v>117.09</v>
      </c>
      <c r="H124" s="6" t="inlineStr">
        <is>
          <t>Organic Search</t>
        </is>
      </c>
      <c r="I124" s="6" t="inlineStr">
        <is>
          <t>Asia Pacific</t>
        </is>
      </c>
      <c r="J124" s="7" t="n">
        <v>45486</v>
      </c>
      <c r="K124" s="6" t="inlineStr">
        <is>
          <t>No</t>
        </is>
      </c>
      <c r="L124" s="7" t="n"/>
      <c r="M124" s="6" t="n"/>
      <c r="N124" s="6" t="n">
        <v>4</v>
      </c>
      <c r="O124" s="6" t="n">
        <v>4</v>
      </c>
      <c r="P124" s="6" t="n">
        <v>48</v>
      </c>
      <c r="Q124" s="6" t="inlineStr">
        <is>
          <t>No</t>
        </is>
      </c>
      <c r="R124" s="6">
        <f>IF(K124="Yes",1,0)</f>
        <v/>
      </c>
      <c r="S124" s="6">
        <f>IF(K124="No",1,0)</f>
        <v/>
      </c>
      <c r="T124" s="6">
        <f>ROUND((IF(L124="",'Subscriptions'!$T$2,L124)-J124)/30.44,1)</f>
        <v/>
      </c>
      <c r="U124" s="6">
        <f>IF(AND(P124&lt;'Subscriptions'!$T$4,O124&lt;='Subscriptions'!$T$5),1,0)</f>
        <v/>
      </c>
    </row>
    <row r="125">
      <c r="A125" s="6" t="inlineStr">
        <is>
          <t>CUST-0124</t>
        </is>
      </c>
      <c r="B125" s="6" t="inlineStr">
        <is>
          <t>Professional</t>
        </is>
      </c>
      <c r="C125" s="6" t="inlineStr">
        <is>
          <t>Monthly</t>
        </is>
      </c>
      <c r="D125" s="6" t="inlineStr">
        <is>
          <t>Legal</t>
        </is>
      </c>
      <c r="E125" s="6" t="inlineStr">
        <is>
          <t>51-200</t>
        </is>
      </c>
      <c r="F125" s="6" t="n">
        <v>71</v>
      </c>
      <c r="G125" s="6" t="n">
        <v>908.5</v>
      </c>
      <c r="H125" s="6" t="inlineStr">
        <is>
          <t>Referral</t>
        </is>
      </c>
      <c r="I125" s="6" t="inlineStr">
        <is>
          <t>North America</t>
        </is>
      </c>
      <c r="J125" s="7" t="n">
        <v>44910</v>
      </c>
      <c r="K125" s="6" t="inlineStr">
        <is>
          <t>No</t>
        </is>
      </c>
      <c r="L125" s="7" t="n"/>
      <c r="M125" s="6" t="n"/>
      <c r="N125" s="6" t="n">
        <v>2</v>
      </c>
      <c r="O125" s="6" t="n">
        <v>5</v>
      </c>
      <c r="P125" s="6" t="n">
        <v>31</v>
      </c>
      <c r="Q125" s="6" t="inlineStr">
        <is>
          <t>No</t>
        </is>
      </c>
      <c r="R125" s="6">
        <f>IF(K125="Yes",1,0)</f>
        <v/>
      </c>
      <c r="S125" s="6">
        <f>IF(K125="No",1,0)</f>
        <v/>
      </c>
      <c r="T125" s="6">
        <f>ROUND((IF(L125="",'Subscriptions'!$T$2,L125)-J125)/30.44,1)</f>
        <v/>
      </c>
      <c r="U125" s="6">
        <f>IF(AND(P125&lt;'Subscriptions'!$T$4,O125&lt;='Subscriptions'!$T$5),1,0)</f>
        <v/>
      </c>
    </row>
    <row r="126">
      <c r="A126" s="6" t="inlineStr">
        <is>
          <t>CUST-0125</t>
        </is>
      </c>
      <c r="B126" s="6" t="inlineStr">
        <is>
          <t>Business</t>
        </is>
      </c>
      <c r="C126" s="6" t="inlineStr">
        <is>
          <t>Annual</t>
        </is>
      </c>
      <c r="D126" s="6" t="inlineStr">
        <is>
          <t>Legal</t>
        </is>
      </c>
      <c r="E126" s="6" t="inlineStr">
        <is>
          <t>1-10</t>
        </is>
      </c>
      <c r="F126" s="6" t="n">
        <v>4</v>
      </c>
      <c r="G126" s="6" t="n">
        <v>245.27</v>
      </c>
      <c r="H126" s="6" t="inlineStr">
        <is>
          <t>Paid Ads</t>
        </is>
      </c>
      <c r="I126" s="6" t="inlineStr">
        <is>
          <t>Europe</t>
        </is>
      </c>
      <c r="J126" s="7" t="n">
        <v>45728</v>
      </c>
      <c r="K126" s="6" t="inlineStr">
        <is>
          <t>No</t>
        </is>
      </c>
      <c r="L126" s="7" t="n"/>
      <c r="M126" s="6" t="n"/>
      <c r="N126" s="6" t="n">
        <v>11</v>
      </c>
      <c r="O126" s="6" t="n">
        <v>6</v>
      </c>
      <c r="P126" s="6" t="n">
        <v>36</v>
      </c>
      <c r="Q126" s="6" t="inlineStr">
        <is>
          <t>Yes</t>
        </is>
      </c>
      <c r="R126" s="6">
        <f>IF(K126="Yes",1,0)</f>
        <v/>
      </c>
      <c r="S126" s="6">
        <f>IF(K126="No",1,0)</f>
        <v/>
      </c>
      <c r="T126" s="6">
        <f>ROUND((IF(L126="",'Subscriptions'!$T$2,L126)-J126)/30.44,1)</f>
        <v/>
      </c>
      <c r="U126" s="6">
        <f>IF(AND(P126&lt;'Subscriptions'!$T$4,O126&lt;='Subscriptions'!$T$5),1,0)</f>
        <v/>
      </c>
    </row>
    <row r="127">
      <c r="A127" s="6" t="inlineStr">
        <is>
          <t>CUST-0126</t>
        </is>
      </c>
      <c r="B127" s="6" t="inlineStr">
        <is>
          <t>Professional</t>
        </is>
      </c>
      <c r="C127" s="6" t="inlineStr">
        <is>
          <t>Monthly</t>
        </is>
      </c>
      <c r="D127" s="6" t="inlineStr">
        <is>
          <t>Healthcare</t>
        </is>
      </c>
      <c r="E127" s="6" t="inlineStr">
        <is>
          <t>11-50</t>
        </is>
      </c>
      <c r="F127" s="6" t="n">
        <v>20</v>
      </c>
      <c r="G127" s="6" t="n">
        <v>304.15</v>
      </c>
      <c r="H127" s="6" t="inlineStr">
        <is>
          <t>Organic Search</t>
        </is>
      </c>
      <c r="I127" s="6" t="inlineStr">
        <is>
          <t>North America</t>
        </is>
      </c>
      <c r="J127" s="7" t="n">
        <v>45091</v>
      </c>
      <c r="K127" s="6" t="inlineStr">
        <is>
          <t>No</t>
        </is>
      </c>
      <c r="L127" s="7" t="n"/>
      <c r="M127" s="6" t="n"/>
      <c r="N127" s="6" t="n">
        <v>1</v>
      </c>
      <c r="O127" s="6" t="n">
        <v>5</v>
      </c>
      <c r="P127" s="6" t="n">
        <v>40</v>
      </c>
      <c r="Q127" s="6" t="inlineStr">
        <is>
          <t>Yes</t>
        </is>
      </c>
      <c r="R127" s="6">
        <f>IF(K127="Yes",1,0)</f>
        <v/>
      </c>
      <c r="S127" s="6">
        <f>IF(K127="No",1,0)</f>
        <v/>
      </c>
      <c r="T127" s="6">
        <f>ROUND((IF(L127="",'Subscriptions'!$T$2,L127)-J127)/30.44,1)</f>
        <v/>
      </c>
      <c r="U127" s="6">
        <f>IF(AND(P127&lt;'Subscriptions'!$T$4,O127&lt;='Subscriptions'!$T$5),1,0)</f>
        <v/>
      </c>
    </row>
    <row r="128">
      <c r="A128" s="6" t="inlineStr">
        <is>
          <t>CUST-0127</t>
        </is>
      </c>
      <c r="B128" s="6" t="inlineStr">
        <is>
          <t>Starter</t>
        </is>
      </c>
      <c r="C128" s="6" t="inlineStr">
        <is>
          <t>Monthly</t>
        </is>
      </c>
      <c r="D128" s="6" t="inlineStr">
        <is>
          <t>Consulting</t>
        </is>
      </c>
      <c r="E128" s="6" t="inlineStr">
        <is>
          <t>11-50</t>
        </is>
      </c>
      <c r="F128" s="6" t="n">
        <v>27</v>
      </c>
      <c r="G128" s="6" t="n">
        <v>142.1</v>
      </c>
      <c r="H128" s="6" t="inlineStr">
        <is>
          <t>Paid Ads</t>
        </is>
      </c>
      <c r="I128" s="6" t="inlineStr">
        <is>
          <t>North America</t>
        </is>
      </c>
      <c r="J128" s="7" t="n">
        <v>45636</v>
      </c>
      <c r="K128" s="6" t="inlineStr">
        <is>
          <t>Yes</t>
        </is>
      </c>
      <c r="L128" s="7" t="n">
        <v>45672</v>
      </c>
      <c r="M128" s="6" t="inlineStr">
        <is>
          <t>Company Closed</t>
        </is>
      </c>
      <c r="N128" s="6" t="n">
        <v>3</v>
      </c>
      <c r="O128" s="6" t="n">
        <v>3</v>
      </c>
      <c r="P128" s="6" t="n">
        <v>38</v>
      </c>
      <c r="Q128" s="6" t="inlineStr">
        <is>
          <t>No</t>
        </is>
      </c>
      <c r="R128" s="6">
        <f>IF(K128="Yes",1,0)</f>
        <v/>
      </c>
      <c r="S128" s="6">
        <f>IF(K128="No",1,0)</f>
        <v/>
      </c>
      <c r="T128" s="6">
        <f>ROUND((IF(L128="",'Subscriptions'!$T$2,L128)-J128)/30.44,1)</f>
        <v/>
      </c>
      <c r="U128" s="6">
        <f>IF(AND(P128&lt;'Subscriptions'!$T$4,O128&lt;='Subscriptions'!$T$5),1,0)</f>
        <v/>
      </c>
    </row>
    <row r="129">
      <c r="A129" s="6" t="inlineStr">
        <is>
          <t>CUST-0128</t>
        </is>
      </c>
      <c r="B129" s="6" t="inlineStr">
        <is>
          <t>Starter</t>
        </is>
      </c>
      <c r="C129" s="6" t="inlineStr">
        <is>
          <t>Monthly</t>
        </is>
      </c>
      <c r="D129" s="6" t="inlineStr">
        <is>
          <t>Retail</t>
        </is>
      </c>
      <c r="E129" s="6" t="inlineStr">
        <is>
          <t>201-500</t>
        </is>
      </c>
      <c r="F129" s="6" t="n">
        <v>46</v>
      </c>
      <c r="G129" s="6" t="n">
        <v>224.75</v>
      </c>
      <c r="H129" s="6" t="inlineStr">
        <is>
          <t>Paid Ads</t>
        </is>
      </c>
      <c r="I129" s="6" t="inlineStr">
        <is>
          <t>Asia Pacific</t>
        </is>
      </c>
      <c r="J129" s="7" t="n">
        <v>44925</v>
      </c>
      <c r="K129" s="6" t="inlineStr">
        <is>
          <t>Yes</t>
        </is>
      </c>
      <c r="L129" s="7" t="n">
        <v>45040</v>
      </c>
      <c r="M129" s="6" t="inlineStr">
        <is>
          <t>No Longer Needed</t>
        </is>
      </c>
      <c r="N129" s="6" t="n">
        <v>10</v>
      </c>
      <c r="O129" s="6" t="n">
        <v>2</v>
      </c>
      <c r="P129" s="6" t="n">
        <v>33</v>
      </c>
      <c r="Q129" s="6" t="inlineStr">
        <is>
          <t>No</t>
        </is>
      </c>
      <c r="R129" s="6">
        <f>IF(K129="Yes",1,0)</f>
        <v/>
      </c>
      <c r="S129" s="6">
        <f>IF(K129="No",1,0)</f>
        <v/>
      </c>
      <c r="T129" s="6">
        <f>ROUND((IF(L129="",'Subscriptions'!$T$2,L129)-J129)/30.44,1)</f>
        <v/>
      </c>
      <c r="U129" s="6">
        <f>IF(AND(P129&lt;'Subscriptions'!$T$4,O129&lt;='Subscriptions'!$T$5),1,0)</f>
        <v/>
      </c>
    </row>
    <row r="130">
      <c r="A130" s="6" t="inlineStr">
        <is>
          <t>CUST-0129</t>
        </is>
      </c>
      <c r="B130" s="6" t="inlineStr">
        <is>
          <t>Starter</t>
        </is>
      </c>
      <c r="C130" s="6" t="inlineStr">
        <is>
          <t>Monthly</t>
        </is>
      </c>
      <c r="D130" s="6" t="inlineStr">
        <is>
          <t>Finance</t>
        </is>
      </c>
      <c r="E130" s="6" t="inlineStr">
        <is>
          <t>51-200</t>
        </is>
      </c>
      <c r="F130" s="6" t="n">
        <v>31</v>
      </c>
      <c r="G130" s="6" t="n">
        <v>159.5</v>
      </c>
      <c r="H130" s="6" t="inlineStr">
        <is>
          <t>Referral</t>
        </is>
      </c>
      <c r="I130" s="6" t="inlineStr">
        <is>
          <t>North America</t>
        </is>
      </c>
      <c r="J130" s="7" t="n">
        <v>44797</v>
      </c>
      <c r="K130" s="6" t="inlineStr">
        <is>
          <t>Yes</t>
        </is>
      </c>
      <c r="L130" s="7" t="n">
        <v>44831</v>
      </c>
      <c r="M130" s="6" t="inlineStr">
        <is>
          <t>Missing Features</t>
        </is>
      </c>
      <c r="N130" s="6" t="n">
        <v>10</v>
      </c>
      <c r="O130" s="6" t="n">
        <v>4</v>
      </c>
      <c r="P130" s="6" t="n">
        <v>22</v>
      </c>
      <c r="Q130" s="6" t="inlineStr">
        <is>
          <t>No</t>
        </is>
      </c>
      <c r="R130" s="6">
        <f>IF(K130="Yes",1,0)</f>
        <v/>
      </c>
      <c r="S130" s="6">
        <f>IF(K130="No",1,0)</f>
        <v/>
      </c>
      <c r="T130" s="6">
        <f>ROUND((IF(L130="",'Subscriptions'!$T$2,L130)-J130)/30.44,1)</f>
        <v/>
      </c>
      <c r="U130" s="6">
        <f>IF(AND(P130&lt;'Subscriptions'!$T$4,O130&lt;='Subscriptions'!$T$5),1,0)</f>
        <v/>
      </c>
    </row>
    <row r="131">
      <c r="A131" s="6" t="inlineStr">
        <is>
          <t>CUST-0130</t>
        </is>
      </c>
      <c r="B131" s="6" t="inlineStr">
        <is>
          <t>Professional</t>
        </is>
      </c>
      <c r="C131" s="6" t="inlineStr">
        <is>
          <t>Monthly</t>
        </is>
      </c>
      <c r="D131" s="6" t="inlineStr">
        <is>
          <t>Manufacturing</t>
        </is>
      </c>
      <c r="E131" s="6" t="inlineStr">
        <is>
          <t>1-10</t>
        </is>
      </c>
      <c r="F131" s="6" t="n">
        <v>8</v>
      </c>
      <c r="G131" s="6" t="n">
        <v>161.95</v>
      </c>
      <c r="H131" s="6" t="inlineStr">
        <is>
          <t>Organic Search</t>
        </is>
      </c>
      <c r="I131" s="6" t="inlineStr">
        <is>
          <t>Latin America</t>
        </is>
      </c>
      <c r="J131" s="7" t="n">
        <v>45842</v>
      </c>
      <c r="K131" s="6" t="inlineStr">
        <is>
          <t>No</t>
        </is>
      </c>
      <c r="L131" s="7" t="n"/>
      <c r="M131" s="6" t="n"/>
      <c r="N131" s="6" t="n">
        <v>6</v>
      </c>
      <c r="O131" s="6" t="n">
        <v>1</v>
      </c>
      <c r="P131" s="6" t="n">
        <v>68</v>
      </c>
      <c r="Q131" s="6" t="inlineStr">
        <is>
          <t>No</t>
        </is>
      </c>
      <c r="R131" s="6">
        <f>IF(K131="Yes",1,0)</f>
        <v/>
      </c>
      <c r="S131" s="6">
        <f>IF(K131="No",1,0)</f>
        <v/>
      </c>
      <c r="T131" s="6">
        <f>ROUND((IF(L131="",'Subscriptions'!$T$2,L131)-J131)/30.44,1)</f>
        <v/>
      </c>
      <c r="U131" s="6">
        <f>IF(AND(P131&lt;'Subscriptions'!$T$4,O131&lt;='Subscriptions'!$T$5),1,0)</f>
        <v/>
      </c>
    </row>
    <row r="132">
      <c r="A132" s="6" t="inlineStr">
        <is>
          <t>CUST-0131</t>
        </is>
      </c>
      <c r="B132" s="6" t="inlineStr">
        <is>
          <t>Business</t>
        </is>
      </c>
      <c r="C132" s="6" t="inlineStr">
        <is>
          <t>Annual</t>
        </is>
      </c>
      <c r="D132" s="6" t="inlineStr">
        <is>
          <t>Legal</t>
        </is>
      </c>
      <c r="E132" s="6" t="inlineStr">
        <is>
          <t>11-50</t>
        </is>
      </c>
      <c r="F132" s="6" t="n">
        <v>6</v>
      </c>
      <c r="G132" s="6" t="n">
        <v>296.01</v>
      </c>
      <c r="H132" s="6" t="inlineStr">
        <is>
          <t>Partner</t>
        </is>
      </c>
      <c r="I132" s="6" t="inlineStr">
        <is>
          <t>Latin America</t>
        </is>
      </c>
      <c r="J132" s="7" t="n">
        <v>45659</v>
      </c>
      <c r="K132" s="6" t="inlineStr">
        <is>
          <t>No</t>
        </is>
      </c>
      <c r="L132" s="7" t="n"/>
      <c r="M132" s="6" t="n"/>
      <c r="N132" s="6" t="n">
        <v>11</v>
      </c>
      <c r="O132" s="6" t="n">
        <v>9</v>
      </c>
      <c r="P132" s="6" t="n">
        <v>36</v>
      </c>
      <c r="Q132" s="6" t="inlineStr">
        <is>
          <t>No</t>
        </is>
      </c>
      <c r="R132" s="6">
        <f>IF(K132="Yes",1,0)</f>
        <v/>
      </c>
      <c r="S132" s="6">
        <f>IF(K132="No",1,0)</f>
        <v/>
      </c>
      <c r="T132" s="6">
        <f>ROUND((IF(L132="",'Subscriptions'!$T$2,L132)-J132)/30.44,1)</f>
        <v/>
      </c>
      <c r="U132" s="6">
        <f>IF(AND(P132&lt;'Subscriptions'!$T$4,O132&lt;='Subscriptions'!$T$5),1,0)</f>
        <v/>
      </c>
    </row>
    <row r="133">
      <c r="A133" s="6" t="inlineStr">
        <is>
          <t>CUST-0132</t>
        </is>
      </c>
      <c r="B133" s="6" t="inlineStr">
        <is>
          <t>Starter</t>
        </is>
      </c>
      <c r="C133" s="6" t="inlineStr">
        <is>
          <t>Annual</t>
        </is>
      </c>
      <c r="D133" s="6" t="inlineStr">
        <is>
          <t>Consulting</t>
        </is>
      </c>
      <c r="E133" s="6" t="inlineStr">
        <is>
          <t>1-10</t>
        </is>
      </c>
      <c r="F133" s="6" t="n">
        <v>8</v>
      </c>
      <c r="G133" s="6" t="n">
        <v>50.53</v>
      </c>
      <c r="H133" s="6" t="inlineStr">
        <is>
          <t>Social Media</t>
        </is>
      </c>
      <c r="I133" s="6" t="inlineStr">
        <is>
          <t>North America</t>
        </is>
      </c>
      <c r="J133" s="7" t="n">
        <v>45950</v>
      </c>
      <c r="K133" s="6" t="inlineStr">
        <is>
          <t>No</t>
        </is>
      </c>
      <c r="L133" s="7" t="n"/>
      <c r="M133" s="6" t="n"/>
      <c r="N133" s="6" t="n">
        <v>7</v>
      </c>
      <c r="O133" s="6" t="n">
        <v>3</v>
      </c>
      <c r="P133" s="6" t="n">
        <v>90</v>
      </c>
      <c r="Q133" s="6" t="inlineStr">
        <is>
          <t>No</t>
        </is>
      </c>
      <c r="R133" s="6">
        <f>IF(K133="Yes",1,0)</f>
        <v/>
      </c>
      <c r="S133" s="6">
        <f>IF(K133="No",1,0)</f>
        <v/>
      </c>
      <c r="T133" s="6">
        <f>ROUND((IF(L133="",'Subscriptions'!$T$2,L133)-J133)/30.44,1)</f>
        <v/>
      </c>
      <c r="U133" s="6">
        <f>IF(AND(P133&lt;'Subscriptions'!$T$4,O133&lt;='Subscriptions'!$T$5),1,0)</f>
        <v/>
      </c>
    </row>
    <row r="134">
      <c r="A134" s="6" t="inlineStr">
        <is>
          <t>CUST-0133</t>
        </is>
      </c>
      <c r="B134" s="6" t="inlineStr">
        <is>
          <t>Enterprise</t>
        </is>
      </c>
      <c r="C134" s="6" t="inlineStr">
        <is>
          <t>Monthly</t>
        </is>
      </c>
      <c r="D134" s="6" t="inlineStr">
        <is>
          <t>Consulting</t>
        </is>
      </c>
      <c r="E134" s="6" t="inlineStr">
        <is>
          <t>1-10</t>
        </is>
      </c>
      <c r="F134" s="6" t="n">
        <v>1</v>
      </c>
      <c r="G134" s="6" t="n">
        <v>499</v>
      </c>
      <c r="H134" s="6" t="inlineStr">
        <is>
          <t>Referral</t>
        </is>
      </c>
      <c r="I134" s="6" t="inlineStr">
        <is>
          <t>North America</t>
        </is>
      </c>
      <c r="J134" s="7" t="n">
        <v>45727</v>
      </c>
      <c r="K134" s="6" t="inlineStr">
        <is>
          <t>No</t>
        </is>
      </c>
      <c r="L134" s="7" t="n"/>
      <c r="M134" s="6" t="n"/>
      <c r="N134" s="6" t="n">
        <v>7</v>
      </c>
      <c r="O134" s="6" t="n">
        <v>8</v>
      </c>
      <c r="P134" s="6" t="n">
        <v>22</v>
      </c>
      <c r="Q134" s="6" t="inlineStr">
        <is>
          <t>No</t>
        </is>
      </c>
      <c r="R134" s="6">
        <f>IF(K134="Yes",1,0)</f>
        <v/>
      </c>
      <c r="S134" s="6">
        <f>IF(K134="No",1,0)</f>
        <v/>
      </c>
      <c r="T134" s="6">
        <f>ROUND((IF(L134="",'Subscriptions'!$T$2,L134)-J134)/30.44,1)</f>
        <v/>
      </c>
      <c r="U134" s="6">
        <f>IF(AND(P134&lt;'Subscriptions'!$T$4,O134&lt;='Subscriptions'!$T$5),1,0)</f>
        <v/>
      </c>
    </row>
    <row r="135">
      <c r="A135" s="6" t="inlineStr">
        <is>
          <t>CUST-0134</t>
        </is>
      </c>
      <c r="B135" s="6" t="inlineStr">
        <is>
          <t>Business</t>
        </is>
      </c>
      <c r="C135" s="6" t="inlineStr">
        <is>
          <t>Annual</t>
        </is>
      </c>
      <c r="D135" s="6" t="inlineStr">
        <is>
          <t>Manufacturing</t>
        </is>
      </c>
      <c r="E135" s="6" t="inlineStr">
        <is>
          <t>51-200</t>
        </is>
      </c>
      <c r="F135" s="6" t="n">
        <v>71</v>
      </c>
      <c r="G135" s="6" t="n">
        <v>1945.22</v>
      </c>
      <c r="H135" s="6" t="inlineStr">
        <is>
          <t>Referral</t>
        </is>
      </c>
      <c r="I135" s="6" t="inlineStr">
        <is>
          <t>Latin America</t>
        </is>
      </c>
      <c r="J135" s="7" t="n">
        <v>44607</v>
      </c>
      <c r="K135" s="6" t="inlineStr">
        <is>
          <t>Yes</t>
        </is>
      </c>
      <c r="L135" s="7" t="n">
        <v>45848</v>
      </c>
      <c r="M135" s="6" t="inlineStr">
        <is>
          <t>Missing Features</t>
        </is>
      </c>
      <c r="N135" s="6" t="n">
        <v>11</v>
      </c>
      <c r="O135" s="6" t="n">
        <v>5</v>
      </c>
      <c r="P135" s="6" t="n">
        <v>31</v>
      </c>
      <c r="Q135" s="6" t="inlineStr">
        <is>
          <t>No</t>
        </is>
      </c>
      <c r="R135" s="6">
        <f>IF(K135="Yes",1,0)</f>
        <v/>
      </c>
      <c r="S135" s="6">
        <f>IF(K135="No",1,0)</f>
        <v/>
      </c>
      <c r="T135" s="6">
        <f>ROUND((IF(L135="",'Subscriptions'!$T$2,L135)-J135)/30.44,1)</f>
        <v/>
      </c>
      <c r="U135" s="6">
        <f>IF(AND(P135&lt;'Subscriptions'!$T$4,O135&lt;='Subscriptions'!$T$5),1,0)</f>
        <v/>
      </c>
    </row>
    <row r="136">
      <c r="A136" s="6" t="inlineStr">
        <is>
          <t>CUST-0135</t>
        </is>
      </c>
      <c r="B136" s="6" t="inlineStr">
        <is>
          <t>Professional</t>
        </is>
      </c>
      <c r="C136" s="6" t="inlineStr">
        <is>
          <t>Monthly</t>
        </is>
      </c>
      <c r="D136" s="6" t="inlineStr">
        <is>
          <t>Retail</t>
        </is>
      </c>
      <c r="E136" s="6" t="inlineStr">
        <is>
          <t>11-50</t>
        </is>
      </c>
      <c r="F136" s="6" t="n">
        <v>25</v>
      </c>
      <c r="G136" s="6" t="n">
        <v>363.4</v>
      </c>
      <c r="H136" s="6" t="inlineStr">
        <is>
          <t>Paid Ads</t>
        </is>
      </c>
      <c r="I136" s="6" t="inlineStr">
        <is>
          <t>Asia Pacific</t>
        </is>
      </c>
      <c r="J136" s="7" t="n">
        <v>44789</v>
      </c>
      <c r="K136" s="6" t="inlineStr">
        <is>
          <t>No</t>
        </is>
      </c>
      <c r="L136" s="7" t="n"/>
      <c r="M136" s="6" t="n"/>
      <c r="N136" s="6" t="n">
        <v>5</v>
      </c>
      <c r="O136" s="6" t="n">
        <v>9</v>
      </c>
      <c r="P136" s="6" t="n">
        <v>85</v>
      </c>
      <c r="Q136" s="6" t="inlineStr">
        <is>
          <t>No</t>
        </is>
      </c>
      <c r="R136" s="6">
        <f>IF(K136="Yes",1,0)</f>
        <v/>
      </c>
      <c r="S136" s="6">
        <f>IF(K136="No",1,0)</f>
        <v/>
      </c>
      <c r="T136" s="6">
        <f>ROUND((IF(L136="",'Subscriptions'!$T$2,L136)-J136)/30.44,1)</f>
        <v/>
      </c>
      <c r="U136" s="6">
        <f>IF(AND(P136&lt;'Subscriptions'!$T$4,O136&lt;='Subscriptions'!$T$5),1,0)</f>
        <v/>
      </c>
    </row>
    <row r="137">
      <c r="A137" s="6" t="inlineStr">
        <is>
          <t>CUST-0136</t>
        </is>
      </c>
      <c r="B137" s="6" t="inlineStr">
        <is>
          <t>Professional</t>
        </is>
      </c>
      <c r="C137" s="6" t="inlineStr">
        <is>
          <t>Annual</t>
        </is>
      </c>
      <c r="D137" s="6" t="inlineStr">
        <is>
          <t>Technology</t>
        </is>
      </c>
      <c r="E137" s="6" t="inlineStr">
        <is>
          <t>500+</t>
        </is>
      </c>
      <c r="F137" s="6" t="n">
        <v>106</v>
      </c>
      <c r="G137" s="6" t="n">
        <v>1124.76</v>
      </c>
      <c r="H137" s="6" t="inlineStr">
        <is>
          <t>Partner</t>
        </is>
      </c>
      <c r="I137" s="6" t="inlineStr">
        <is>
          <t>North America</t>
        </is>
      </c>
      <c r="J137" s="7" t="n">
        <v>44626</v>
      </c>
      <c r="K137" s="6" t="inlineStr">
        <is>
          <t>No</t>
        </is>
      </c>
      <c r="L137" s="7" t="n"/>
      <c r="M137" s="6" t="n"/>
      <c r="N137" s="6" t="n">
        <v>4</v>
      </c>
      <c r="O137" s="6" t="n">
        <v>4</v>
      </c>
      <c r="P137" s="6" t="n">
        <v>87</v>
      </c>
      <c r="Q137" s="6" t="inlineStr">
        <is>
          <t>No</t>
        </is>
      </c>
      <c r="R137" s="6">
        <f>IF(K137="Yes",1,0)</f>
        <v/>
      </c>
      <c r="S137" s="6">
        <f>IF(K137="No",1,0)</f>
        <v/>
      </c>
      <c r="T137" s="6">
        <f>ROUND((IF(L137="",'Subscriptions'!$T$2,L137)-J137)/30.44,1)</f>
        <v/>
      </c>
      <c r="U137" s="6">
        <f>IF(AND(P137&lt;'Subscriptions'!$T$4,O137&lt;='Subscriptions'!$T$5),1,0)</f>
        <v/>
      </c>
    </row>
    <row r="138">
      <c r="A138" s="6" t="inlineStr">
        <is>
          <t>CUST-0137</t>
        </is>
      </c>
      <c r="B138" s="6" t="inlineStr">
        <is>
          <t>Starter</t>
        </is>
      </c>
      <c r="C138" s="6" t="inlineStr">
        <is>
          <t>Annual</t>
        </is>
      </c>
      <c r="D138" s="6" t="inlineStr">
        <is>
          <t>Real Estate</t>
        </is>
      </c>
      <c r="E138" s="6" t="inlineStr">
        <is>
          <t>11-50</t>
        </is>
      </c>
      <c r="F138" s="6" t="n">
        <v>9</v>
      </c>
      <c r="G138" s="6" t="n">
        <v>54.23</v>
      </c>
      <c r="H138" s="6" t="inlineStr">
        <is>
          <t>Organic Search</t>
        </is>
      </c>
      <c r="I138" s="6" t="inlineStr">
        <is>
          <t>North America</t>
        </is>
      </c>
      <c r="J138" s="7" t="n">
        <v>45053</v>
      </c>
      <c r="K138" s="6" t="inlineStr">
        <is>
          <t>Yes</t>
        </is>
      </c>
      <c r="L138" s="7" t="n">
        <v>45338</v>
      </c>
      <c r="M138" s="6" t="inlineStr">
        <is>
          <t>Poor Support</t>
        </is>
      </c>
      <c r="N138" s="6" t="n">
        <v>4</v>
      </c>
      <c r="O138" s="6" t="n">
        <v>2</v>
      </c>
      <c r="P138" s="6" t="n">
        <v>41</v>
      </c>
      <c r="Q138" s="6" t="inlineStr">
        <is>
          <t>No</t>
        </is>
      </c>
      <c r="R138" s="6">
        <f>IF(K138="Yes",1,0)</f>
        <v/>
      </c>
      <c r="S138" s="6">
        <f>IF(K138="No",1,0)</f>
        <v/>
      </c>
      <c r="T138" s="6">
        <f>ROUND((IF(L138="",'Subscriptions'!$T$2,L138)-J138)/30.44,1)</f>
        <v/>
      </c>
      <c r="U138" s="6">
        <f>IF(AND(P138&lt;'Subscriptions'!$T$4,O138&lt;='Subscriptions'!$T$5),1,0)</f>
        <v/>
      </c>
    </row>
    <row r="139">
      <c r="A139" s="6" t="inlineStr">
        <is>
          <t>CUST-0138</t>
        </is>
      </c>
      <c r="B139" s="6" t="inlineStr">
        <is>
          <t>Starter</t>
        </is>
      </c>
      <c r="C139" s="6" t="inlineStr">
        <is>
          <t>Monthly</t>
        </is>
      </c>
      <c r="D139" s="6" t="inlineStr">
        <is>
          <t>Healthcare</t>
        </is>
      </c>
      <c r="E139" s="6" t="inlineStr">
        <is>
          <t>11-50</t>
        </is>
      </c>
      <c r="F139" s="6" t="n">
        <v>21</v>
      </c>
      <c r="G139" s="6" t="n">
        <v>116</v>
      </c>
      <c r="H139" s="6" t="inlineStr">
        <is>
          <t>Direct Sales</t>
        </is>
      </c>
      <c r="I139" s="6" t="inlineStr">
        <is>
          <t>Europe</t>
        </is>
      </c>
      <c r="J139" s="7" t="n">
        <v>44774</v>
      </c>
      <c r="K139" s="6" t="inlineStr">
        <is>
          <t>Yes</t>
        </is>
      </c>
      <c r="L139" s="7" t="n">
        <v>44812</v>
      </c>
      <c r="M139" s="6" t="inlineStr">
        <is>
          <t>Price Too High</t>
        </is>
      </c>
      <c r="N139" s="6" t="n">
        <v>1</v>
      </c>
      <c r="O139" s="6" t="n">
        <v>3</v>
      </c>
      <c r="P139" s="6" t="n">
        <v>19</v>
      </c>
      <c r="Q139" s="6" t="inlineStr">
        <is>
          <t>No</t>
        </is>
      </c>
      <c r="R139" s="6">
        <f>IF(K139="Yes",1,0)</f>
        <v/>
      </c>
      <c r="S139" s="6">
        <f>IF(K139="No",1,0)</f>
        <v/>
      </c>
      <c r="T139" s="6">
        <f>ROUND((IF(L139="",'Subscriptions'!$T$2,L139)-J139)/30.44,1)</f>
        <v/>
      </c>
      <c r="U139" s="6">
        <f>IF(AND(P139&lt;'Subscriptions'!$T$4,O139&lt;='Subscriptions'!$T$5),1,0)</f>
        <v/>
      </c>
    </row>
    <row r="140">
      <c r="A140" s="6" t="inlineStr">
        <is>
          <t>CUST-0139</t>
        </is>
      </c>
      <c r="B140" s="6" t="inlineStr">
        <is>
          <t>Starter</t>
        </is>
      </c>
      <c r="C140" s="6" t="inlineStr">
        <is>
          <t>Monthly</t>
        </is>
      </c>
      <c r="D140" s="6" t="inlineStr">
        <is>
          <t>Finance</t>
        </is>
      </c>
      <c r="E140" s="6" t="inlineStr">
        <is>
          <t>11-50</t>
        </is>
      </c>
      <c r="F140" s="6" t="n">
        <v>5</v>
      </c>
      <c r="G140" s="6" t="n">
        <v>46.4</v>
      </c>
      <c r="H140" s="6" t="inlineStr">
        <is>
          <t>Referral</t>
        </is>
      </c>
      <c r="I140" s="6" t="inlineStr">
        <is>
          <t>North America</t>
        </is>
      </c>
      <c r="J140" s="7" t="n">
        <v>45663</v>
      </c>
      <c r="K140" s="6" t="inlineStr">
        <is>
          <t>Yes</t>
        </is>
      </c>
      <c r="L140" s="7" t="n">
        <v>46010</v>
      </c>
      <c r="M140" s="6" t="inlineStr">
        <is>
          <t>Budget Cuts</t>
        </is>
      </c>
      <c r="N140" s="6" t="n">
        <v>7</v>
      </c>
      <c r="O140" s="6" t="n">
        <v>3</v>
      </c>
      <c r="P140" s="6" t="n">
        <v>22</v>
      </c>
      <c r="Q140" s="6" t="inlineStr">
        <is>
          <t>No</t>
        </is>
      </c>
      <c r="R140" s="6">
        <f>IF(K140="Yes",1,0)</f>
        <v/>
      </c>
      <c r="S140" s="6">
        <f>IF(K140="No",1,0)</f>
        <v/>
      </c>
      <c r="T140" s="6">
        <f>ROUND((IF(L140="",'Subscriptions'!$T$2,L140)-J140)/30.44,1)</f>
        <v/>
      </c>
      <c r="U140" s="6">
        <f>IF(AND(P140&lt;'Subscriptions'!$T$4,O140&lt;='Subscriptions'!$T$5),1,0)</f>
        <v/>
      </c>
    </row>
    <row r="141">
      <c r="A141" s="6" t="inlineStr">
        <is>
          <t>CUST-0140</t>
        </is>
      </c>
      <c r="B141" s="6" t="inlineStr">
        <is>
          <t>Starter</t>
        </is>
      </c>
      <c r="C141" s="6" t="inlineStr">
        <is>
          <t>Monthly</t>
        </is>
      </c>
      <c r="D141" s="6" t="inlineStr">
        <is>
          <t>Retail</t>
        </is>
      </c>
      <c r="E141" s="6" t="inlineStr">
        <is>
          <t>201-500</t>
        </is>
      </c>
      <c r="F141" s="6" t="n">
        <v>131</v>
      </c>
      <c r="G141" s="6" t="n">
        <v>594.5</v>
      </c>
      <c r="H141" s="6" t="inlineStr">
        <is>
          <t>Partner</t>
        </is>
      </c>
      <c r="I141" s="6" t="inlineStr">
        <is>
          <t>North America</t>
        </is>
      </c>
      <c r="J141" s="7" t="n">
        <v>44613</v>
      </c>
      <c r="K141" s="6" t="inlineStr">
        <is>
          <t>Yes</t>
        </is>
      </c>
      <c r="L141" s="7" t="n">
        <v>44764</v>
      </c>
      <c r="M141" s="6" t="inlineStr">
        <is>
          <t>Company Closed</t>
        </is>
      </c>
      <c r="N141" s="6" t="n">
        <v>9</v>
      </c>
      <c r="O141" s="6" t="n">
        <v>3</v>
      </c>
      <c r="P141" s="6" t="n">
        <v>16</v>
      </c>
      <c r="Q141" s="6" t="inlineStr">
        <is>
          <t>No</t>
        </is>
      </c>
      <c r="R141" s="6">
        <f>IF(K141="Yes",1,0)</f>
        <v/>
      </c>
      <c r="S141" s="6">
        <f>IF(K141="No",1,0)</f>
        <v/>
      </c>
      <c r="T141" s="6">
        <f>ROUND((IF(L141="",'Subscriptions'!$T$2,L141)-J141)/30.44,1)</f>
        <v/>
      </c>
      <c r="U141" s="6">
        <f>IF(AND(P141&lt;'Subscriptions'!$T$4,O141&lt;='Subscriptions'!$T$5),1,0)</f>
        <v/>
      </c>
    </row>
    <row r="142">
      <c r="A142" s="6" t="inlineStr">
        <is>
          <t>CUST-0141</t>
        </is>
      </c>
      <c r="B142" s="6" t="inlineStr">
        <is>
          <t>Business</t>
        </is>
      </c>
      <c r="C142" s="6" t="inlineStr">
        <is>
          <t>Annual</t>
        </is>
      </c>
      <c r="D142" s="6" t="inlineStr">
        <is>
          <t>Legal</t>
        </is>
      </c>
      <c r="E142" s="6" t="inlineStr">
        <is>
          <t>51-200</t>
        </is>
      </c>
      <c r="F142" s="6" t="n">
        <v>18</v>
      </c>
      <c r="G142" s="6" t="n">
        <v>600.48</v>
      </c>
      <c r="H142" s="6" t="inlineStr">
        <is>
          <t>Paid Ads</t>
        </is>
      </c>
      <c r="I142" s="6" t="inlineStr">
        <is>
          <t>North America</t>
        </is>
      </c>
      <c r="J142" s="7" t="n">
        <v>45368</v>
      </c>
      <c r="K142" s="6" t="inlineStr">
        <is>
          <t>No</t>
        </is>
      </c>
      <c r="L142" s="7" t="n"/>
      <c r="M142" s="6" t="n"/>
      <c r="N142" s="6" t="n">
        <v>8</v>
      </c>
      <c r="O142" s="6" t="n">
        <v>4</v>
      </c>
      <c r="P142" s="6" t="n">
        <v>33</v>
      </c>
      <c r="Q142" s="6" t="inlineStr">
        <is>
          <t>No</t>
        </is>
      </c>
      <c r="R142" s="6">
        <f>IF(K142="Yes",1,0)</f>
        <v/>
      </c>
      <c r="S142" s="6">
        <f>IF(K142="No",1,0)</f>
        <v/>
      </c>
      <c r="T142" s="6">
        <f>ROUND((IF(L142="",'Subscriptions'!$T$2,L142)-J142)/30.44,1)</f>
        <v/>
      </c>
      <c r="U142" s="6">
        <f>IF(AND(P142&lt;'Subscriptions'!$T$4,O142&lt;='Subscriptions'!$T$5),1,0)</f>
        <v/>
      </c>
    </row>
    <row r="143">
      <c r="A143" s="6" t="inlineStr">
        <is>
          <t>CUST-0142</t>
        </is>
      </c>
      <c r="B143" s="6" t="inlineStr">
        <is>
          <t>Starter</t>
        </is>
      </c>
      <c r="C143" s="6" t="inlineStr">
        <is>
          <t>Annual</t>
        </is>
      </c>
      <c r="D143" s="6" t="inlineStr">
        <is>
          <t>Education</t>
        </is>
      </c>
      <c r="E143" s="6" t="inlineStr">
        <is>
          <t>51-200</t>
        </is>
      </c>
      <c r="F143" s="6" t="n">
        <v>28</v>
      </c>
      <c r="G143" s="6" t="n">
        <v>124.48</v>
      </c>
      <c r="H143" s="6" t="inlineStr">
        <is>
          <t>Social Media</t>
        </is>
      </c>
      <c r="I143" s="6" t="inlineStr">
        <is>
          <t>North America</t>
        </is>
      </c>
      <c r="J143" s="7" t="n">
        <v>45534</v>
      </c>
      <c r="K143" s="6" t="inlineStr">
        <is>
          <t>No</t>
        </is>
      </c>
      <c r="L143" s="7" t="n"/>
      <c r="M143" s="6" t="n"/>
      <c r="N143" s="6" t="n">
        <v>8</v>
      </c>
      <c r="O143" s="6" t="n">
        <v>3</v>
      </c>
      <c r="P143" s="6" t="n">
        <v>32</v>
      </c>
      <c r="Q143" s="6" t="inlineStr">
        <is>
          <t>No</t>
        </is>
      </c>
      <c r="R143" s="6">
        <f>IF(K143="Yes",1,0)</f>
        <v/>
      </c>
      <c r="S143" s="6">
        <f>IF(K143="No",1,0)</f>
        <v/>
      </c>
      <c r="T143" s="6">
        <f>ROUND((IF(L143="",'Subscriptions'!$T$2,L143)-J143)/30.44,1)</f>
        <v/>
      </c>
      <c r="U143" s="6">
        <f>IF(AND(P143&lt;'Subscriptions'!$T$4,O143&lt;='Subscriptions'!$T$5),1,0)</f>
        <v/>
      </c>
    </row>
    <row r="144">
      <c r="A144" s="6" t="inlineStr">
        <is>
          <t>CUST-0143</t>
        </is>
      </c>
      <c r="B144" s="6" t="inlineStr">
        <is>
          <t>Business</t>
        </is>
      </c>
      <c r="C144" s="6" t="inlineStr">
        <is>
          <t>Annual</t>
        </is>
      </c>
      <c r="D144" s="6" t="inlineStr">
        <is>
          <t>Finance</t>
        </is>
      </c>
      <c r="E144" s="6" t="inlineStr">
        <is>
          <t>1-10</t>
        </is>
      </c>
      <c r="F144" s="6" t="n">
        <v>7</v>
      </c>
      <c r="G144" s="6" t="n">
        <v>321.38</v>
      </c>
      <c r="H144" s="6" t="inlineStr">
        <is>
          <t>Organic Search</t>
        </is>
      </c>
      <c r="I144" s="6" t="inlineStr">
        <is>
          <t>North America</t>
        </is>
      </c>
      <c r="J144" s="7" t="n">
        <v>45928</v>
      </c>
      <c r="K144" s="6" t="inlineStr">
        <is>
          <t>No</t>
        </is>
      </c>
      <c r="L144" s="7" t="n"/>
      <c r="M144" s="6" t="n"/>
      <c r="N144" s="6" t="n">
        <v>12</v>
      </c>
      <c r="O144" s="6" t="n">
        <v>1</v>
      </c>
      <c r="P144" s="6" t="n">
        <v>43</v>
      </c>
      <c r="Q144" s="6" t="inlineStr">
        <is>
          <t>No</t>
        </is>
      </c>
      <c r="R144" s="6">
        <f>IF(K144="Yes",1,0)</f>
        <v/>
      </c>
      <c r="S144" s="6">
        <f>IF(K144="No",1,0)</f>
        <v/>
      </c>
      <c r="T144" s="6">
        <f>ROUND((IF(L144="",'Subscriptions'!$T$2,L144)-J144)/30.44,1)</f>
        <v/>
      </c>
      <c r="U144" s="6">
        <f>IF(AND(P144&lt;'Subscriptions'!$T$4,O144&lt;='Subscriptions'!$T$5),1,0)</f>
        <v/>
      </c>
    </row>
    <row r="145">
      <c r="A145" s="6" t="inlineStr">
        <is>
          <t>CUST-0144</t>
        </is>
      </c>
      <c r="B145" s="6" t="inlineStr">
        <is>
          <t>Starter</t>
        </is>
      </c>
      <c r="C145" s="6" t="inlineStr">
        <is>
          <t>Monthly</t>
        </is>
      </c>
      <c r="D145" s="6" t="inlineStr">
        <is>
          <t>Real Estate</t>
        </is>
      </c>
      <c r="E145" s="6" t="inlineStr">
        <is>
          <t>1-10</t>
        </is>
      </c>
      <c r="F145" s="6" t="n">
        <v>6</v>
      </c>
      <c r="G145" s="6" t="n">
        <v>50.75</v>
      </c>
      <c r="H145" s="6" t="inlineStr">
        <is>
          <t>Organic Search</t>
        </is>
      </c>
      <c r="I145" s="6" t="inlineStr">
        <is>
          <t>North America</t>
        </is>
      </c>
      <c r="J145" s="7" t="n">
        <v>45018</v>
      </c>
      <c r="K145" s="6" t="inlineStr">
        <is>
          <t>Yes</t>
        </is>
      </c>
      <c r="L145" s="7" t="n">
        <v>45129</v>
      </c>
      <c r="M145" s="6" t="inlineStr">
        <is>
          <t>Missing Features</t>
        </is>
      </c>
      <c r="N145" s="6" t="n">
        <v>3</v>
      </c>
      <c r="O145" s="6" t="n">
        <v>1</v>
      </c>
      <c r="P145" s="6" t="n">
        <v>44</v>
      </c>
      <c r="Q145" s="6" t="inlineStr">
        <is>
          <t>No</t>
        </is>
      </c>
      <c r="R145" s="6">
        <f>IF(K145="Yes",1,0)</f>
        <v/>
      </c>
      <c r="S145" s="6">
        <f>IF(K145="No",1,0)</f>
        <v/>
      </c>
      <c r="T145" s="6">
        <f>ROUND((IF(L145="",'Subscriptions'!$T$2,L145)-J145)/30.44,1)</f>
        <v/>
      </c>
      <c r="U145" s="6">
        <f>IF(AND(P145&lt;'Subscriptions'!$T$4,O145&lt;='Subscriptions'!$T$5),1,0)</f>
        <v/>
      </c>
    </row>
    <row r="146">
      <c r="A146" s="6" t="inlineStr">
        <is>
          <t>CUST-0145</t>
        </is>
      </c>
      <c r="B146" s="6" t="inlineStr">
        <is>
          <t>Professional</t>
        </is>
      </c>
      <c r="C146" s="6" t="inlineStr">
        <is>
          <t>Annual</t>
        </is>
      </c>
      <c r="D146" s="6" t="inlineStr">
        <is>
          <t>Finance</t>
        </is>
      </c>
      <c r="E146" s="6" t="inlineStr">
        <is>
          <t>11-50</t>
        </is>
      </c>
      <c r="F146" s="6" t="n">
        <v>8</v>
      </c>
      <c r="G146" s="6" t="n">
        <v>137.66</v>
      </c>
      <c r="H146" s="6" t="inlineStr">
        <is>
          <t>Direct Sales</t>
        </is>
      </c>
      <c r="I146" s="6" t="inlineStr">
        <is>
          <t>North America</t>
        </is>
      </c>
      <c r="J146" s="7" t="n">
        <v>45277</v>
      </c>
      <c r="K146" s="6" t="inlineStr">
        <is>
          <t>Yes</t>
        </is>
      </c>
      <c r="L146" s="7" t="n">
        <v>45613</v>
      </c>
      <c r="M146" s="6" t="inlineStr">
        <is>
          <t>Poor Support</t>
        </is>
      </c>
      <c r="N146" s="6" t="n">
        <v>3</v>
      </c>
      <c r="O146" s="6" t="n">
        <v>3</v>
      </c>
      <c r="P146" s="6" t="n">
        <v>30</v>
      </c>
      <c r="Q146" s="6" t="inlineStr">
        <is>
          <t>No</t>
        </is>
      </c>
      <c r="R146" s="6">
        <f>IF(K146="Yes",1,0)</f>
        <v/>
      </c>
      <c r="S146" s="6">
        <f>IF(K146="No",1,0)</f>
        <v/>
      </c>
      <c r="T146" s="6">
        <f>ROUND((IF(L146="",'Subscriptions'!$T$2,L146)-J146)/30.44,1)</f>
        <v/>
      </c>
      <c r="U146" s="6">
        <f>IF(AND(P146&lt;'Subscriptions'!$T$4,O146&lt;='Subscriptions'!$T$5),1,0)</f>
        <v/>
      </c>
    </row>
    <row r="147">
      <c r="A147" s="6" t="inlineStr">
        <is>
          <t>CUST-0146</t>
        </is>
      </c>
      <c r="B147" s="6" t="inlineStr">
        <is>
          <t>Enterprise</t>
        </is>
      </c>
      <c r="C147" s="6" t="inlineStr">
        <is>
          <t>Monthly</t>
        </is>
      </c>
      <c r="D147" s="6" t="inlineStr">
        <is>
          <t>Legal</t>
        </is>
      </c>
      <c r="E147" s="6" t="inlineStr">
        <is>
          <t>11-50</t>
        </is>
      </c>
      <c r="F147" s="6" t="n">
        <v>15</v>
      </c>
      <c r="G147" s="6" t="n">
        <v>1546.9</v>
      </c>
      <c r="H147" s="6" t="inlineStr">
        <is>
          <t>Organic Search</t>
        </is>
      </c>
      <c r="I147" s="6" t="inlineStr">
        <is>
          <t>North America</t>
        </is>
      </c>
      <c r="J147" s="7" t="n">
        <v>44739</v>
      </c>
      <c r="K147" s="6" t="inlineStr">
        <is>
          <t>No</t>
        </is>
      </c>
      <c r="L147" s="7" t="n"/>
      <c r="M147" s="6" t="n"/>
      <c r="N147" s="6" t="n">
        <v>1</v>
      </c>
      <c r="O147" s="6" t="n">
        <v>5</v>
      </c>
      <c r="P147" s="6" t="n">
        <v>61</v>
      </c>
      <c r="Q147" s="6" t="inlineStr">
        <is>
          <t>No</t>
        </is>
      </c>
      <c r="R147" s="6">
        <f>IF(K147="Yes",1,0)</f>
        <v/>
      </c>
      <c r="S147" s="6">
        <f>IF(K147="No",1,0)</f>
        <v/>
      </c>
      <c r="T147" s="6">
        <f>ROUND((IF(L147="",'Subscriptions'!$T$2,L147)-J147)/30.44,1)</f>
        <v/>
      </c>
      <c r="U147" s="6">
        <f>IF(AND(P147&lt;'Subscriptions'!$T$4,O147&lt;='Subscriptions'!$T$5),1,0)</f>
        <v/>
      </c>
    </row>
    <row r="148">
      <c r="A148" s="6" t="inlineStr">
        <is>
          <t>CUST-0147</t>
        </is>
      </c>
      <c r="B148" s="6" t="inlineStr">
        <is>
          <t>Starter</t>
        </is>
      </c>
      <c r="C148" s="6" t="inlineStr">
        <is>
          <t>Annual</t>
        </is>
      </c>
      <c r="D148" s="6" t="inlineStr">
        <is>
          <t>Manufacturing</t>
        </is>
      </c>
      <c r="E148" s="6" t="inlineStr">
        <is>
          <t>1-10</t>
        </is>
      </c>
      <c r="F148" s="6" t="n">
        <v>6</v>
      </c>
      <c r="G148" s="6" t="n">
        <v>43.14</v>
      </c>
      <c r="H148" s="6" t="inlineStr">
        <is>
          <t>Paid Ads</t>
        </is>
      </c>
      <c r="I148" s="6" t="inlineStr">
        <is>
          <t>North America</t>
        </is>
      </c>
      <c r="J148" s="7" t="n">
        <v>45204</v>
      </c>
      <c r="K148" s="6" t="inlineStr">
        <is>
          <t>Yes</t>
        </is>
      </c>
      <c r="L148" s="7" t="n">
        <v>45251</v>
      </c>
      <c r="M148" s="6" t="inlineStr">
        <is>
          <t>Price Too High</t>
        </is>
      </c>
      <c r="N148" s="6" t="n">
        <v>5</v>
      </c>
      <c r="O148" s="6" t="n">
        <v>3</v>
      </c>
      <c r="P148" s="6" t="n">
        <v>15</v>
      </c>
      <c r="Q148" s="6" t="inlineStr">
        <is>
          <t>No</t>
        </is>
      </c>
      <c r="R148" s="6">
        <f>IF(K148="Yes",1,0)</f>
        <v/>
      </c>
      <c r="S148" s="6">
        <f>IF(K148="No",1,0)</f>
        <v/>
      </c>
      <c r="T148" s="6">
        <f>ROUND((IF(L148="",'Subscriptions'!$T$2,L148)-J148)/30.44,1)</f>
        <v/>
      </c>
      <c r="U148" s="6">
        <f>IF(AND(P148&lt;'Subscriptions'!$T$4,O148&lt;='Subscriptions'!$T$5),1,0)</f>
        <v/>
      </c>
    </row>
    <row r="149">
      <c r="A149" s="6" t="inlineStr">
        <is>
          <t>CUST-0148</t>
        </is>
      </c>
      <c r="B149" s="6" t="inlineStr">
        <is>
          <t>Enterprise</t>
        </is>
      </c>
      <c r="C149" s="6" t="inlineStr">
        <is>
          <t>Monthly</t>
        </is>
      </c>
      <c r="D149" s="6" t="inlineStr">
        <is>
          <t>Media</t>
        </is>
      </c>
      <c r="E149" s="6" t="inlineStr">
        <is>
          <t>51-200</t>
        </is>
      </c>
      <c r="F149" s="6" t="n">
        <v>73</v>
      </c>
      <c r="G149" s="6" t="n">
        <v>5888.2</v>
      </c>
      <c r="H149" s="6" t="inlineStr">
        <is>
          <t>Organic Search</t>
        </is>
      </c>
      <c r="I149" s="6" t="inlineStr">
        <is>
          <t>Europe</t>
        </is>
      </c>
      <c r="J149" s="7" t="n">
        <v>45714</v>
      </c>
      <c r="K149" s="6" t="inlineStr">
        <is>
          <t>No</t>
        </is>
      </c>
      <c r="L149" s="7" t="n"/>
      <c r="M149" s="6" t="n"/>
      <c r="N149" s="6" t="n">
        <v>5</v>
      </c>
      <c r="O149" s="6" t="n">
        <v>2</v>
      </c>
      <c r="P149" s="6" t="n">
        <v>54</v>
      </c>
      <c r="Q149" s="6" t="inlineStr">
        <is>
          <t>No</t>
        </is>
      </c>
      <c r="R149" s="6">
        <f>IF(K149="Yes",1,0)</f>
        <v/>
      </c>
      <c r="S149" s="6">
        <f>IF(K149="No",1,0)</f>
        <v/>
      </c>
      <c r="T149" s="6">
        <f>ROUND((IF(L149="",'Subscriptions'!$T$2,L149)-J149)/30.44,1)</f>
        <v/>
      </c>
      <c r="U149" s="6">
        <f>IF(AND(P149&lt;'Subscriptions'!$T$4,O149&lt;='Subscriptions'!$T$5),1,0)</f>
        <v/>
      </c>
    </row>
    <row r="150">
      <c r="A150" s="6" t="inlineStr">
        <is>
          <t>CUST-0149</t>
        </is>
      </c>
      <c r="B150" s="6" t="inlineStr">
        <is>
          <t>Professional</t>
        </is>
      </c>
      <c r="C150" s="6" t="inlineStr">
        <is>
          <t>Monthly</t>
        </is>
      </c>
      <c r="D150" s="6" t="inlineStr">
        <is>
          <t>Manufacturing</t>
        </is>
      </c>
      <c r="E150" s="6" t="inlineStr">
        <is>
          <t>1-10</t>
        </is>
      </c>
      <c r="F150" s="6" t="n">
        <v>1</v>
      </c>
      <c r="G150" s="6" t="n">
        <v>79</v>
      </c>
      <c r="H150" s="6" t="inlineStr">
        <is>
          <t>Direct Sales</t>
        </is>
      </c>
      <c r="I150" s="6" t="inlineStr">
        <is>
          <t>North America</t>
        </is>
      </c>
      <c r="J150" s="7" t="n">
        <v>45866</v>
      </c>
      <c r="K150" s="6" t="inlineStr">
        <is>
          <t>No</t>
        </is>
      </c>
      <c r="L150" s="7" t="n"/>
      <c r="M150" s="6" t="n"/>
      <c r="N150" s="6" t="n">
        <v>11</v>
      </c>
      <c r="O150" s="6" t="n">
        <v>6</v>
      </c>
      <c r="P150" s="6" t="n">
        <v>74</v>
      </c>
      <c r="Q150" s="6" t="inlineStr">
        <is>
          <t>No</t>
        </is>
      </c>
      <c r="R150" s="6">
        <f>IF(K150="Yes",1,0)</f>
        <v/>
      </c>
      <c r="S150" s="6">
        <f>IF(K150="No",1,0)</f>
        <v/>
      </c>
      <c r="T150" s="6">
        <f>ROUND((IF(L150="",'Subscriptions'!$T$2,L150)-J150)/30.44,1)</f>
        <v/>
      </c>
      <c r="U150" s="6">
        <f>IF(AND(P150&lt;'Subscriptions'!$T$4,O150&lt;='Subscriptions'!$T$5),1,0)</f>
        <v/>
      </c>
    </row>
    <row r="151">
      <c r="A151" s="6" t="inlineStr">
        <is>
          <t>CUST-0150</t>
        </is>
      </c>
      <c r="B151" s="6" t="inlineStr">
        <is>
          <t>Professional</t>
        </is>
      </c>
      <c r="C151" s="6" t="inlineStr">
        <is>
          <t>Monthly</t>
        </is>
      </c>
      <c r="D151" s="6" t="inlineStr">
        <is>
          <t>Manufacturing</t>
        </is>
      </c>
      <c r="E151" s="6" t="inlineStr">
        <is>
          <t>11-50</t>
        </is>
      </c>
      <c r="F151" s="6" t="n">
        <v>26</v>
      </c>
      <c r="G151" s="6" t="n">
        <v>375.25</v>
      </c>
      <c r="H151" s="6" t="inlineStr">
        <is>
          <t>Organic Search</t>
        </is>
      </c>
      <c r="I151" s="6" t="inlineStr">
        <is>
          <t>Latin America</t>
        </is>
      </c>
      <c r="J151" s="7" t="n">
        <v>45109</v>
      </c>
      <c r="K151" s="6" t="inlineStr">
        <is>
          <t>Yes</t>
        </is>
      </c>
      <c r="L151" s="7" t="n">
        <v>45346</v>
      </c>
      <c r="M151" s="6" t="inlineStr">
        <is>
          <t>Price Too High</t>
        </is>
      </c>
      <c r="N151" s="6" t="n">
        <v>13</v>
      </c>
      <c r="O151" s="6" t="n">
        <v>1</v>
      </c>
      <c r="P151" s="6" t="n">
        <v>29</v>
      </c>
      <c r="Q151" s="6" t="inlineStr">
        <is>
          <t>No</t>
        </is>
      </c>
      <c r="R151" s="6">
        <f>IF(K151="Yes",1,0)</f>
        <v/>
      </c>
      <c r="S151" s="6">
        <f>IF(K151="No",1,0)</f>
        <v/>
      </c>
      <c r="T151" s="6">
        <f>ROUND((IF(L151="",'Subscriptions'!$T$2,L151)-J151)/30.44,1)</f>
        <v/>
      </c>
      <c r="U151" s="6">
        <f>IF(AND(P151&lt;'Subscriptions'!$T$4,O151&lt;='Subscriptions'!$T$5),1,0)</f>
        <v/>
      </c>
    </row>
    <row r="152">
      <c r="A152" s="6" t="inlineStr">
        <is>
          <t>CUST-0151</t>
        </is>
      </c>
      <c r="B152" s="6" t="inlineStr">
        <is>
          <t>Starter</t>
        </is>
      </c>
      <c r="C152" s="6" t="inlineStr">
        <is>
          <t>Monthly</t>
        </is>
      </c>
      <c r="D152" s="6" t="inlineStr">
        <is>
          <t>Retail</t>
        </is>
      </c>
      <c r="E152" s="6" t="inlineStr">
        <is>
          <t>1-10</t>
        </is>
      </c>
      <c r="F152" s="6" t="n">
        <v>5</v>
      </c>
      <c r="G152" s="6" t="n">
        <v>46.4</v>
      </c>
      <c r="H152" s="6" t="inlineStr">
        <is>
          <t>Social Media</t>
        </is>
      </c>
      <c r="I152" s="6" t="inlineStr">
        <is>
          <t>North America</t>
        </is>
      </c>
      <c r="J152" s="7" t="n">
        <v>45438</v>
      </c>
      <c r="K152" s="6" t="inlineStr">
        <is>
          <t>Yes</t>
        </is>
      </c>
      <c r="L152" s="7" t="n">
        <v>45632</v>
      </c>
      <c r="M152" s="6" t="inlineStr">
        <is>
          <t>No Longer Needed</t>
        </is>
      </c>
      <c r="N152" s="6" t="n">
        <v>7</v>
      </c>
      <c r="O152" s="6" t="n">
        <v>5</v>
      </c>
      <c r="P152" s="6" t="n">
        <v>15</v>
      </c>
      <c r="Q152" s="6" t="inlineStr">
        <is>
          <t>No</t>
        </is>
      </c>
      <c r="R152" s="6">
        <f>IF(K152="Yes",1,0)</f>
        <v/>
      </c>
      <c r="S152" s="6">
        <f>IF(K152="No",1,0)</f>
        <v/>
      </c>
      <c r="T152" s="6">
        <f>ROUND((IF(L152="",'Subscriptions'!$T$2,L152)-J152)/30.44,1)</f>
        <v/>
      </c>
      <c r="U152" s="6">
        <f>IF(AND(P152&lt;'Subscriptions'!$T$4,O152&lt;='Subscriptions'!$T$5),1,0)</f>
        <v/>
      </c>
    </row>
    <row r="153">
      <c r="A153" s="6" t="inlineStr">
        <is>
          <t>CUST-0152</t>
        </is>
      </c>
      <c r="B153" s="6" t="inlineStr">
        <is>
          <t>Business</t>
        </is>
      </c>
      <c r="C153" s="6" t="inlineStr">
        <is>
          <t>Annual</t>
        </is>
      </c>
      <c r="D153" s="6" t="inlineStr">
        <is>
          <t>Retail</t>
        </is>
      </c>
      <c r="E153" s="6" t="inlineStr">
        <is>
          <t>500+</t>
        </is>
      </c>
      <c r="F153" s="6" t="n">
        <v>199</v>
      </c>
      <c r="G153" s="6" t="n">
        <v>5192.9</v>
      </c>
      <c r="H153" s="6" t="inlineStr">
        <is>
          <t>Partner</t>
        </is>
      </c>
      <c r="I153" s="6" t="inlineStr">
        <is>
          <t>North America</t>
        </is>
      </c>
      <c r="J153" s="7" t="n">
        <v>45086</v>
      </c>
      <c r="K153" s="6" t="inlineStr">
        <is>
          <t>Yes</t>
        </is>
      </c>
      <c r="L153" s="7" t="n">
        <v>45526</v>
      </c>
      <c r="M153" s="6" t="inlineStr">
        <is>
          <t>Poor Support</t>
        </is>
      </c>
      <c r="N153" s="6" t="n">
        <v>4</v>
      </c>
      <c r="O153" s="6" t="n">
        <v>5</v>
      </c>
      <c r="P153" s="6" t="n">
        <v>36</v>
      </c>
      <c r="Q153" s="6" t="inlineStr">
        <is>
          <t>No</t>
        </is>
      </c>
      <c r="R153" s="6">
        <f>IF(K153="Yes",1,0)</f>
        <v/>
      </c>
      <c r="S153" s="6">
        <f>IF(K153="No",1,0)</f>
        <v/>
      </c>
      <c r="T153" s="6">
        <f>ROUND((IF(L153="",'Subscriptions'!$T$2,L153)-J153)/30.44,1)</f>
        <v/>
      </c>
      <c r="U153" s="6">
        <f>IF(AND(P153&lt;'Subscriptions'!$T$4,O153&lt;='Subscriptions'!$T$5),1,0)</f>
        <v/>
      </c>
    </row>
    <row r="154">
      <c r="A154" s="6" t="inlineStr">
        <is>
          <t>CUST-0153</t>
        </is>
      </c>
      <c r="B154" s="6" t="inlineStr">
        <is>
          <t>Starter</t>
        </is>
      </c>
      <c r="C154" s="6" t="inlineStr">
        <is>
          <t>Monthly</t>
        </is>
      </c>
      <c r="D154" s="6" t="inlineStr">
        <is>
          <t>Retail</t>
        </is>
      </c>
      <c r="E154" s="6" t="inlineStr">
        <is>
          <t>1-10</t>
        </is>
      </c>
      <c r="F154" s="6" t="n">
        <v>6</v>
      </c>
      <c r="G154" s="6" t="n">
        <v>50.75</v>
      </c>
      <c r="H154" s="6" t="inlineStr">
        <is>
          <t>Partner</t>
        </is>
      </c>
      <c r="I154" s="6" t="inlineStr">
        <is>
          <t>North America</t>
        </is>
      </c>
      <c r="J154" s="7" t="n">
        <v>45786</v>
      </c>
      <c r="K154" s="6" t="inlineStr">
        <is>
          <t>Yes</t>
        </is>
      </c>
      <c r="L154" s="7" t="n">
        <v>45991</v>
      </c>
      <c r="M154" s="6" t="inlineStr">
        <is>
          <t>Budget Cuts</t>
        </is>
      </c>
      <c r="N154" s="6" t="n">
        <v>8</v>
      </c>
      <c r="O154" s="6" t="n">
        <v>4</v>
      </c>
      <c r="P154" s="6" t="n">
        <v>18</v>
      </c>
      <c r="Q154" s="6" t="inlineStr">
        <is>
          <t>No</t>
        </is>
      </c>
      <c r="R154" s="6">
        <f>IF(K154="Yes",1,0)</f>
        <v/>
      </c>
      <c r="S154" s="6">
        <f>IF(K154="No",1,0)</f>
        <v/>
      </c>
      <c r="T154" s="6">
        <f>ROUND((IF(L154="",'Subscriptions'!$T$2,L154)-J154)/30.44,1)</f>
        <v/>
      </c>
      <c r="U154" s="6">
        <f>IF(AND(P154&lt;'Subscriptions'!$T$4,O154&lt;='Subscriptions'!$T$5),1,0)</f>
        <v/>
      </c>
    </row>
    <row r="155">
      <c r="A155" s="6" t="inlineStr">
        <is>
          <t>CUST-0154</t>
        </is>
      </c>
      <c r="B155" s="6" t="inlineStr">
        <is>
          <t>Professional</t>
        </is>
      </c>
      <c r="C155" s="6" t="inlineStr">
        <is>
          <t>Annual</t>
        </is>
      </c>
      <c r="D155" s="6" t="inlineStr">
        <is>
          <t>Legal</t>
        </is>
      </c>
      <c r="E155" s="6" t="inlineStr">
        <is>
          <t>1-10</t>
        </is>
      </c>
      <c r="F155" s="6" t="n">
        <v>1</v>
      </c>
      <c r="G155" s="6" t="n">
        <v>67.15000000000001</v>
      </c>
      <c r="H155" s="6" t="inlineStr">
        <is>
          <t>Partner</t>
        </is>
      </c>
      <c r="I155" s="6" t="inlineStr">
        <is>
          <t>Europe</t>
        </is>
      </c>
      <c r="J155" s="7" t="n">
        <v>45515</v>
      </c>
      <c r="K155" s="6" t="inlineStr">
        <is>
          <t>Yes</t>
        </is>
      </c>
      <c r="L155" s="7" t="n">
        <v>45714</v>
      </c>
      <c r="M155" s="6" t="inlineStr">
        <is>
          <t>Poor Support</t>
        </is>
      </c>
      <c r="N155" s="6" t="n">
        <v>1</v>
      </c>
      <c r="O155" s="6" t="n">
        <v>5</v>
      </c>
      <c r="P155" s="6" t="n">
        <v>14</v>
      </c>
      <c r="Q155" s="6" t="inlineStr">
        <is>
          <t>No</t>
        </is>
      </c>
      <c r="R155" s="6">
        <f>IF(K155="Yes",1,0)</f>
        <v/>
      </c>
      <c r="S155" s="6">
        <f>IF(K155="No",1,0)</f>
        <v/>
      </c>
      <c r="T155" s="6">
        <f>ROUND((IF(L155="",'Subscriptions'!$T$2,L155)-J155)/30.44,1)</f>
        <v/>
      </c>
      <c r="U155" s="6">
        <f>IF(AND(P155&lt;'Subscriptions'!$T$4,O155&lt;='Subscriptions'!$T$5),1,0)</f>
        <v/>
      </c>
    </row>
    <row r="156">
      <c r="A156" s="6" t="inlineStr">
        <is>
          <t>CUST-0155</t>
        </is>
      </c>
      <c r="B156" s="6" t="inlineStr">
        <is>
          <t>Starter</t>
        </is>
      </c>
      <c r="C156" s="6" t="inlineStr">
        <is>
          <t>Monthly</t>
        </is>
      </c>
      <c r="D156" s="6" t="inlineStr">
        <is>
          <t>Consulting</t>
        </is>
      </c>
      <c r="E156" s="6" t="inlineStr">
        <is>
          <t>500+</t>
        </is>
      </c>
      <c r="F156" s="6" t="n">
        <v>230</v>
      </c>
      <c r="G156" s="6" t="n">
        <v>1025.15</v>
      </c>
      <c r="H156" s="6" t="inlineStr">
        <is>
          <t>Referral</t>
        </is>
      </c>
      <c r="I156" s="6" t="inlineStr">
        <is>
          <t>Asia Pacific</t>
        </is>
      </c>
      <c r="J156" s="7" t="n">
        <v>44848</v>
      </c>
      <c r="K156" s="6" t="inlineStr">
        <is>
          <t>Yes</t>
        </is>
      </c>
      <c r="L156" s="7" t="n">
        <v>45385</v>
      </c>
      <c r="M156" s="6" t="inlineStr">
        <is>
          <t>Price Too High</t>
        </is>
      </c>
      <c r="N156" s="6" t="n">
        <v>6</v>
      </c>
      <c r="O156" s="6" t="n">
        <v>2</v>
      </c>
      <c r="P156" s="6" t="n">
        <v>35</v>
      </c>
      <c r="Q156" s="6" t="inlineStr">
        <is>
          <t>No</t>
        </is>
      </c>
      <c r="R156" s="6">
        <f>IF(K156="Yes",1,0)</f>
        <v/>
      </c>
      <c r="S156" s="6">
        <f>IF(K156="No",1,0)</f>
        <v/>
      </c>
      <c r="T156" s="6">
        <f>ROUND((IF(L156="",'Subscriptions'!$T$2,L156)-J156)/30.44,1)</f>
        <v/>
      </c>
      <c r="U156" s="6">
        <f>IF(AND(P156&lt;'Subscriptions'!$T$4,O156&lt;='Subscriptions'!$T$5),1,0)</f>
        <v/>
      </c>
    </row>
    <row r="157">
      <c r="A157" s="6" t="inlineStr">
        <is>
          <t>CUST-0156</t>
        </is>
      </c>
      <c r="B157" s="6" t="inlineStr">
        <is>
          <t>Business</t>
        </is>
      </c>
      <c r="C157" s="6" t="inlineStr">
        <is>
          <t>Monthly</t>
        </is>
      </c>
      <c r="D157" s="6" t="inlineStr">
        <is>
          <t>Healthcare</t>
        </is>
      </c>
      <c r="E157" s="6" t="inlineStr">
        <is>
          <t>11-50</t>
        </is>
      </c>
      <c r="F157" s="6" t="n">
        <v>7</v>
      </c>
      <c r="G157" s="6" t="n">
        <v>378.1</v>
      </c>
      <c r="H157" s="6" t="inlineStr">
        <is>
          <t>Organic Search</t>
        </is>
      </c>
      <c r="I157" s="6" t="inlineStr">
        <is>
          <t>North America</t>
        </is>
      </c>
      <c r="J157" s="7" t="n">
        <v>45555</v>
      </c>
      <c r="K157" s="6" t="inlineStr">
        <is>
          <t>No</t>
        </is>
      </c>
      <c r="L157" s="7" t="n"/>
      <c r="M157" s="6" t="n"/>
      <c r="N157" s="6" t="n">
        <v>4</v>
      </c>
      <c r="O157" s="6" t="n">
        <v>5</v>
      </c>
      <c r="P157" s="6" t="n">
        <v>83</v>
      </c>
      <c r="Q157" s="6" t="inlineStr">
        <is>
          <t>No</t>
        </is>
      </c>
      <c r="R157" s="6">
        <f>IF(K157="Yes",1,0)</f>
        <v/>
      </c>
      <c r="S157" s="6">
        <f>IF(K157="No",1,0)</f>
        <v/>
      </c>
      <c r="T157" s="6">
        <f>ROUND((IF(L157="",'Subscriptions'!$T$2,L157)-J157)/30.44,1)</f>
        <v/>
      </c>
      <c r="U157" s="6">
        <f>IF(AND(P157&lt;'Subscriptions'!$T$4,O157&lt;='Subscriptions'!$T$5),1,0)</f>
        <v/>
      </c>
    </row>
    <row r="158">
      <c r="A158" s="6" t="inlineStr">
        <is>
          <t>CUST-0157</t>
        </is>
      </c>
      <c r="B158" s="6" t="inlineStr">
        <is>
          <t>Professional</t>
        </is>
      </c>
      <c r="C158" s="6" t="inlineStr">
        <is>
          <t>Annual</t>
        </is>
      </c>
      <c r="D158" s="6" t="inlineStr">
        <is>
          <t>Education</t>
        </is>
      </c>
      <c r="E158" s="6" t="inlineStr">
        <is>
          <t>1-10</t>
        </is>
      </c>
      <c r="F158" s="6" t="n">
        <v>5</v>
      </c>
      <c r="G158" s="6" t="n">
        <v>107.44</v>
      </c>
      <c r="H158" s="6" t="inlineStr">
        <is>
          <t>Direct Sales</t>
        </is>
      </c>
      <c r="I158" s="6" t="inlineStr">
        <is>
          <t>Europe</t>
        </is>
      </c>
      <c r="J158" s="7" t="n">
        <v>45144</v>
      </c>
      <c r="K158" s="6" t="inlineStr">
        <is>
          <t>No</t>
        </is>
      </c>
      <c r="L158" s="7" t="n"/>
      <c r="M158" s="6" t="n"/>
      <c r="N158" s="6" t="n">
        <v>9</v>
      </c>
      <c r="O158" s="6" t="n">
        <v>2</v>
      </c>
      <c r="P158" s="6" t="n">
        <v>80</v>
      </c>
      <c r="Q158" s="6" t="inlineStr">
        <is>
          <t>No</t>
        </is>
      </c>
      <c r="R158" s="6">
        <f>IF(K158="Yes",1,0)</f>
        <v/>
      </c>
      <c r="S158" s="6">
        <f>IF(K158="No",1,0)</f>
        <v/>
      </c>
      <c r="T158" s="6">
        <f>ROUND((IF(L158="",'Subscriptions'!$T$2,L158)-J158)/30.44,1)</f>
        <v/>
      </c>
      <c r="U158" s="6">
        <f>IF(AND(P158&lt;'Subscriptions'!$T$4,O158&lt;='Subscriptions'!$T$5),1,0)</f>
        <v/>
      </c>
    </row>
    <row r="159">
      <c r="A159" s="6" t="inlineStr">
        <is>
          <t>CUST-0158</t>
        </is>
      </c>
      <c r="B159" s="6" t="inlineStr">
        <is>
          <t>Enterprise</t>
        </is>
      </c>
      <c r="C159" s="6" t="inlineStr">
        <is>
          <t>Monthly</t>
        </is>
      </c>
      <c r="D159" s="6" t="inlineStr">
        <is>
          <t>Technology</t>
        </is>
      </c>
      <c r="E159" s="6" t="inlineStr">
        <is>
          <t>11-50</t>
        </is>
      </c>
      <c r="F159" s="6" t="n">
        <v>20</v>
      </c>
      <c r="G159" s="6" t="n">
        <v>1921.15</v>
      </c>
      <c r="H159" s="6" t="inlineStr">
        <is>
          <t>Organic Search</t>
        </is>
      </c>
      <c r="I159" s="6" t="inlineStr">
        <is>
          <t>Latin America</t>
        </is>
      </c>
      <c r="J159" s="7" t="n">
        <v>45034</v>
      </c>
      <c r="K159" s="6" t="inlineStr">
        <is>
          <t>No</t>
        </is>
      </c>
      <c r="L159" s="7" t="n"/>
      <c r="M159" s="6" t="n"/>
      <c r="N159" s="6" t="n">
        <v>6</v>
      </c>
      <c r="O159" s="6" t="n">
        <v>2</v>
      </c>
      <c r="P159" s="6" t="n">
        <v>35</v>
      </c>
      <c r="Q159" s="6" t="inlineStr">
        <is>
          <t>No</t>
        </is>
      </c>
      <c r="R159" s="6">
        <f>IF(K159="Yes",1,0)</f>
        <v/>
      </c>
      <c r="S159" s="6">
        <f>IF(K159="No",1,0)</f>
        <v/>
      </c>
      <c r="T159" s="6">
        <f>ROUND((IF(L159="",'Subscriptions'!$T$2,L159)-J159)/30.44,1)</f>
        <v/>
      </c>
      <c r="U159" s="6">
        <f>IF(AND(P159&lt;'Subscriptions'!$T$4,O159&lt;='Subscriptions'!$T$5),1,0)</f>
        <v/>
      </c>
    </row>
    <row r="160">
      <c r="A160" s="6" t="inlineStr">
        <is>
          <t>CUST-0159</t>
        </is>
      </c>
      <c r="B160" s="6" t="inlineStr">
        <is>
          <t>Starter</t>
        </is>
      </c>
      <c r="C160" s="6" t="inlineStr">
        <is>
          <t>Annual</t>
        </is>
      </c>
      <c r="D160" s="6" t="inlineStr">
        <is>
          <t>Manufacturing</t>
        </is>
      </c>
      <c r="E160" s="6" t="inlineStr">
        <is>
          <t>51-200</t>
        </is>
      </c>
      <c r="F160" s="6" t="n">
        <v>66</v>
      </c>
      <c r="G160" s="6" t="n">
        <v>264.99</v>
      </c>
      <c r="H160" s="6" t="inlineStr">
        <is>
          <t>Referral</t>
        </is>
      </c>
      <c r="I160" s="6" t="inlineStr">
        <is>
          <t>Asia Pacific</t>
        </is>
      </c>
      <c r="J160" s="7" t="n">
        <v>45955</v>
      </c>
      <c r="K160" s="6" t="inlineStr">
        <is>
          <t>No</t>
        </is>
      </c>
      <c r="L160" s="7" t="n"/>
      <c r="M160" s="6" t="n"/>
      <c r="N160" s="6" t="n">
        <v>8</v>
      </c>
      <c r="O160" s="6" t="n">
        <v>8</v>
      </c>
      <c r="P160" s="6" t="n">
        <v>30</v>
      </c>
      <c r="Q160" s="6" t="inlineStr">
        <is>
          <t>No</t>
        </is>
      </c>
      <c r="R160" s="6">
        <f>IF(K160="Yes",1,0)</f>
        <v/>
      </c>
      <c r="S160" s="6">
        <f>IF(K160="No",1,0)</f>
        <v/>
      </c>
      <c r="T160" s="6">
        <f>ROUND((IF(L160="",'Subscriptions'!$T$2,L160)-J160)/30.44,1)</f>
        <v/>
      </c>
      <c r="U160" s="6">
        <f>IF(AND(P160&lt;'Subscriptions'!$T$4,O160&lt;='Subscriptions'!$T$5),1,0)</f>
        <v/>
      </c>
    </row>
    <row r="161">
      <c r="A161" s="6" t="inlineStr">
        <is>
          <t>CUST-0160</t>
        </is>
      </c>
      <c r="B161" s="6" t="inlineStr">
        <is>
          <t>Professional</t>
        </is>
      </c>
      <c r="C161" s="6" t="inlineStr">
        <is>
          <t>Annual</t>
        </is>
      </c>
      <c r="D161" s="6" t="inlineStr">
        <is>
          <t>Legal</t>
        </is>
      </c>
      <c r="E161" s="6" t="inlineStr">
        <is>
          <t>51-200</t>
        </is>
      </c>
      <c r="F161" s="6" t="n">
        <v>71</v>
      </c>
      <c r="G161" s="6" t="n">
        <v>772.22</v>
      </c>
      <c r="H161" s="6" t="inlineStr">
        <is>
          <t>Organic Search</t>
        </is>
      </c>
      <c r="I161" s="6" t="inlineStr">
        <is>
          <t>Asia Pacific</t>
        </is>
      </c>
      <c r="J161" s="7" t="n">
        <v>45664</v>
      </c>
      <c r="K161" s="6" t="inlineStr">
        <is>
          <t>No</t>
        </is>
      </c>
      <c r="L161" s="7" t="n"/>
      <c r="M161" s="6" t="n"/>
      <c r="N161" s="6" t="n">
        <v>9</v>
      </c>
      <c r="O161" s="6" t="n">
        <v>5</v>
      </c>
      <c r="P161" s="6" t="n">
        <v>93</v>
      </c>
      <c r="Q161" s="6" t="inlineStr">
        <is>
          <t>No</t>
        </is>
      </c>
      <c r="R161" s="6">
        <f>IF(K161="Yes",1,0)</f>
        <v/>
      </c>
      <c r="S161" s="6">
        <f>IF(K161="No",1,0)</f>
        <v/>
      </c>
      <c r="T161" s="6">
        <f>ROUND((IF(L161="",'Subscriptions'!$T$2,L161)-J161)/30.44,1)</f>
        <v/>
      </c>
      <c r="U161" s="6">
        <f>IF(AND(P161&lt;'Subscriptions'!$T$4,O161&lt;='Subscriptions'!$T$5),1,0)</f>
        <v/>
      </c>
    </row>
    <row r="162">
      <c r="A162" s="6" t="inlineStr">
        <is>
          <t>CUST-0161</t>
        </is>
      </c>
      <c r="B162" s="6" t="inlineStr">
        <is>
          <t>Business</t>
        </is>
      </c>
      <c r="C162" s="6" t="inlineStr">
        <is>
          <t>Annual</t>
        </is>
      </c>
      <c r="D162" s="6" t="inlineStr">
        <is>
          <t>Education</t>
        </is>
      </c>
      <c r="E162" s="6" t="inlineStr">
        <is>
          <t>1-10</t>
        </is>
      </c>
      <c r="F162" s="6" t="n">
        <v>4</v>
      </c>
      <c r="G162" s="6" t="n">
        <v>245.27</v>
      </c>
      <c r="H162" s="6" t="inlineStr">
        <is>
          <t>Partner</t>
        </is>
      </c>
      <c r="I162" s="6" t="inlineStr">
        <is>
          <t>Europe</t>
        </is>
      </c>
      <c r="J162" s="7" t="n">
        <v>45637</v>
      </c>
      <c r="K162" s="6" t="inlineStr">
        <is>
          <t>Yes</t>
        </is>
      </c>
      <c r="L162" s="7" t="n">
        <v>45766</v>
      </c>
      <c r="M162" s="6" t="inlineStr">
        <is>
          <t>Price Too High</t>
        </is>
      </c>
      <c r="N162" s="6" t="n">
        <v>0</v>
      </c>
      <c r="O162" s="6" t="n">
        <v>6</v>
      </c>
      <c r="P162" s="6" t="n">
        <v>28</v>
      </c>
      <c r="Q162" s="6" t="inlineStr">
        <is>
          <t>No</t>
        </is>
      </c>
      <c r="R162" s="6">
        <f>IF(K162="Yes",1,0)</f>
        <v/>
      </c>
      <c r="S162" s="6">
        <f>IF(K162="No",1,0)</f>
        <v/>
      </c>
      <c r="T162" s="6">
        <f>ROUND((IF(L162="",'Subscriptions'!$T$2,L162)-J162)/30.44,1)</f>
        <v/>
      </c>
      <c r="U162" s="6">
        <f>IF(AND(P162&lt;'Subscriptions'!$T$4,O162&lt;='Subscriptions'!$T$5),1,0)</f>
        <v/>
      </c>
    </row>
    <row r="163">
      <c r="A163" s="6" t="inlineStr">
        <is>
          <t>CUST-0162</t>
        </is>
      </c>
      <c r="B163" s="6" t="inlineStr">
        <is>
          <t>Starter</t>
        </is>
      </c>
      <c r="C163" s="6" t="inlineStr">
        <is>
          <t>Monthly</t>
        </is>
      </c>
      <c r="D163" s="6" t="inlineStr">
        <is>
          <t>Finance</t>
        </is>
      </c>
      <c r="E163" s="6" t="inlineStr">
        <is>
          <t>500+</t>
        </is>
      </c>
      <c r="F163" s="6" t="n">
        <v>150</v>
      </c>
      <c r="G163" s="6" t="n">
        <v>677.15</v>
      </c>
      <c r="H163" s="6" t="inlineStr">
        <is>
          <t>Paid Ads</t>
        </is>
      </c>
      <c r="I163" s="6" t="inlineStr">
        <is>
          <t>Europe</t>
        </is>
      </c>
      <c r="J163" s="7" t="n">
        <v>44782</v>
      </c>
      <c r="K163" s="6" t="inlineStr">
        <is>
          <t>Yes</t>
        </is>
      </c>
      <c r="L163" s="7" t="n">
        <v>45256</v>
      </c>
      <c r="M163" s="6" t="inlineStr">
        <is>
          <t>Budget Cuts</t>
        </is>
      </c>
      <c r="N163" s="6" t="n">
        <v>0</v>
      </c>
      <c r="O163" s="6" t="n">
        <v>3</v>
      </c>
      <c r="P163" s="6" t="n">
        <v>44</v>
      </c>
      <c r="Q163" s="6" t="inlineStr">
        <is>
          <t>No</t>
        </is>
      </c>
      <c r="R163" s="6">
        <f>IF(K163="Yes",1,0)</f>
        <v/>
      </c>
      <c r="S163" s="6">
        <f>IF(K163="No",1,0)</f>
        <v/>
      </c>
      <c r="T163" s="6">
        <f>ROUND((IF(L163="",'Subscriptions'!$T$2,L163)-J163)/30.44,1)</f>
        <v/>
      </c>
      <c r="U163" s="6">
        <f>IF(AND(P163&lt;'Subscriptions'!$T$4,O163&lt;='Subscriptions'!$T$5),1,0)</f>
        <v/>
      </c>
    </row>
    <row r="164">
      <c r="A164" s="6" t="inlineStr">
        <is>
          <t>CUST-0163</t>
        </is>
      </c>
      <c r="B164" s="6" t="inlineStr">
        <is>
          <t>Starter</t>
        </is>
      </c>
      <c r="C164" s="6" t="inlineStr">
        <is>
          <t>Annual</t>
        </is>
      </c>
      <c r="D164" s="6" t="inlineStr">
        <is>
          <t>Manufacturing</t>
        </is>
      </c>
      <c r="E164" s="6" t="inlineStr">
        <is>
          <t>1-10</t>
        </is>
      </c>
      <c r="F164" s="6" t="n">
        <v>2</v>
      </c>
      <c r="G164" s="6" t="n">
        <v>28.35</v>
      </c>
      <c r="H164" s="6" t="inlineStr">
        <is>
          <t>Paid Ads</t>
        </is>
      </c>
      <c r="I164" s="6" t="inlineStr">
        <is>
          <t>Asia Pacific</t>
        </is>
      </c>
      <c r="J164" s="7" t="n">
        <v>45685</v>
      </c>
      <c r="K164" s="6" t="inlineStr">
        <is>
          <t>No</t>
        </is>
      </c>
      <c r="L164" s="7" t="n"/>
      <c r="M164" s="6" t="n"/>
      <c r="N164" s="6" t="n">
        <v>3</v>
      </c>
      <c r="O164" s="6" t="n">
        <v>8</v>
      </c>
      <c r="P164" s="6" t="n">
        <v>20</v>
      </c>
      <c r="Q164" s="6" t="inlineStr">
        <is>
          <t>No</t>
        </is>
      </c>
      <c r="R164" s="6">
        <f>IF(K164="Yes",1,0)</f>
        <v/>
      </c>
      <c r="S164" s="6">
        <f>IF(K164="No",1,0)</f>
        <v/>
      </c>
      <c r="T164" s="6">
        <f>ROUND((IF(L164="",'Subscriptions'!$T$2,L164)-J164)/30.44,1)</f>
        <v/>
      </c>
      <c r="U164" s="6">
        <f>IF(AND(P164&lt;'Subscriptions'!$T$4,O164&lt;='Subscriptions'!$T$5),1,0)</f>
        <v/>
      </c>
    </row>
    <row r="165">
      <c r="A165" s="6" t="inlineStr">
        <is>
          <t>CUST-0164</t>
        </is>
      </c>
      <c r="B165" s="6" t="inlineStr">
        <is>
          <t>Starter</t>
        </is>
      </c>
      <c r="C165" s="6" t="inlineStr">
        <is>
          <t>Annual</t>
        </is>
      </c>
      <c r="D165" s="6" t="inlineStr">
        <is>
          <t>Healthcare</t>
        </is>
      </c>
      <c r="E165" s="6" t="inlineStr">
        <is>
          <t>500+</t>
        </is>
      </c>
      <c r="F165" s="6" t="n">
        <v>220</v>
      </c>
      <c r="G165" s="6" t="n">
        <v>834.4</v>
      </c>
      <c r="H165" s="6" t="inlineStr">
        <is>
          <t>Organic Search</t>
        </is>
      </c>
      <c r="I165" s="6" t="inlineStr">
        <is>
          <t>Europe</t>
        </is>
      </c>
      <c r="J165" s="7" t="n">
        <v>45157</v>
      </c>
      <c r="K165" s="6" t="inlineStr">
        <is>
          <t>Yes</t>
        </is>
      </c>
      <c r="L165" s="7" t="n">
        <v>45819</v>
      </c>
      <c r="M165" s="6" t="inlineStr">
        <is>
          <t>Switched Competitor</t>
        </is>
      </c>
      <c r="N165" s="6" t="n">
        <v>4</v>
      </c>
      <c r="O165" s="6" t="n">
        <v>3</v>
      </c>
      <c r="P165" s="6" t="n">
        <v>12</v>
      </c>
      <c r="Q165" s="6" t="inlineStr">
        <is>
          <t>No</t>
        </is>
      </c>
      <c r="R165" s="6">
        <f>IF(K165="Yes",1,0)</f>
        <v/>
      </c>
      <c r="S165" s="6">
        <f>IF(K165="No",1,0)</f>
        <v/>
      </c>
      <c r="T165" s="6">
        <f>ROUND((IF(L165="",'Subscriptions'!$T$2,L165)-J165)/30.44,1)</f>
        <v/>
      </c>
      <c r="U165" s="6">
        <f>IF(AND(P165&lt;'Subscriptions'!$T$4,O165&lt;='Subscriptions'!$T$5),1,0)</f>
        <v/>
      </c>
    </row>
    <row r="166">
      <c r="A166" s="6" t="inlineStr">
        <is>
          <t>CUST-0165</t>
        </is>
      </c>
      <c r="B166" s="6" t="inlineStr">
        <is>
          <t>Starter</t>
        </is>
      </c>
      <c r="C166" s="6" t="inlineStr">
        <is>
          <t>Annual</t>
        </is>
      </c>
      <c r="D166" s="6" t="inlineStr">
        <is>
          <t>Real Estate</t>
        </is>
      </c>
      <c r="E166" s="6" t="inlineStr">
        <is>
          <t>201-500</t>
        </is>
      </c>
      <c r="F166" s="6" t="n">
        <v>34</v>
      </c>
      <c r="G166" s="6" t="n">
        <v>146.67</v>
      </c>
      <c r="H166" s="6" t="inlineStr">
        <is>
          <t>Organic Search</t>
        </is>
      </c>
      <c r="I166" s="6" t="inlineStr">
        <is>
          <t>Asia Pacific</t>
        </is>
      </c>
      <c r="J166" s="7" t="n">
        <v>45488</v>
      </c>
      <c r="K166" s="6" t="inlineStr">
        <is>
          <t>No</t>
        </is>
      </c>
      <c r="L166" s="7" t="n"/>
      <c r="M166" s="6" t="n"/>
      <c r="N166" s="6" t="n">
        <v>12</v>
      </c>
      <c r="O166" s="6" t="n">
        <v>5</v>
      </c>
      <c r="P166" s="6" t="n">
        <v>60</v>
      </c>
      <c r="Q166" s="6" t="inlineStr">
        <is>
          <t>No</t>
        </is>
      </c>
      <c r="R166" s="6">
        <f>IF(K166="Yes",1,0)</f>
        <v/>
      </c>
      <c r="S166" s="6">
        <f>IF(K166="No",1,0)</f>
        <v/>
      </c>
      <c r="T166" s="6">
        <f>ROUND((IF(L166="",'Subscriptions'!$T$2,L166)-J166)/30.44,1)</f>
        <v/>
      </c>
      <c r="U166" s="6">
        <f>IF(AND(P166&lt;'Subscriptions'!$T$4,O166&lt;='Subscriptions'!$T$5),1,0)</f>
        <v/>
      </c>
    </row>
    <row r="167">
      <c r="A167" s="6" t="inlineStr">
        <is>
          <t>CUST-0166</t>
        </is>
      </c>
      <c r="B167" s="6" t="inlineStr">
        <is>
          <t>Starter</t>
        </is>
      </c>
      <c r="C167" s="6" t="inlineStr">
        <is>
          <t>Monthly</t>
        </is>
      </c>
      <c r="D167" s="6" t="inlineStr">
        <is>
          <t>Healthcare</t>
        </is>
      </c>
      <c r="E167" s="6" t="inlineStr">
        <is>
          <t>1-10</t>
        </is>
      </c>
      <c r="F167" s="6" t="n">
        <v>1</v>
      </c>
      <c r="G167" s="6" t="n">
        <v>29</v>
      </c>
      <c r="H167" s="6" t="inlineStr">
        <is>
          <t>Social Media</t>
        </is>
      </c>
      <c r="I167" s="6" t="inlineStr">
        <is>
          <t>Europe</t>
        </is>
      </c>
      <c r="J167" s="7" t="n">
        <v>45187</v>
      </c>
      <c r="K167" s="6" t="inlineStr">
        <is>
          <t>Yes</t>
        </is>
      </c>
      <c r="L167" s="7" t="n">
        <v>45682</v>
      </c>
      <c r="M167" s="6" t="inlineStr">
        <is>
          <t>No Longer Needed</t>
        </is>
      </c>
      <c r="N167" s="6" t="n">
        <v>7</v>
      </c>
      <c r="O167" s="6" t="n">
        <v>5</v>
      </c>
      <c r="P167" s="6" t="n">
        <v>20</v>
      </c>
      <c r="Q167" s="6" t="inlineStr">
        <is>
          <t>No</t>
        </is>
      </c>
      <c r="R167" s="6">
        <f>IF(K167="Yes",1,0)</f>
        <v/>
      </c>
      <c r="S167" s="6">
        <f>IF(K167="No",1,0)</f>
        <v/>
      </c>
      <c r="T167" s="6">
        <f>ROUND((IF(L167="",'Subscriptions'!$T$2,L167)-J167)/30.44,1)</f>
        <v/>
      </c>
      <c r="U167" s="6">
        <f>IF(AND(P167&lt;'Subscriptions'!$T$4,O167&lt;='Subscriptions'!$T$5),1,0)</f>
        <v/>
      </c>
    </row>
    <row r="168">
      <c r="A168" s="6" t="inlineStr">
        <is>
          <t>CUST-0167</t>
        </is>
      </c>
      <c r="B168" s="6" t="inlineStr">
        <is>
          <t>Starter</t>
        </is>
      </c>
      <c r="C168" s="6" t="inlineStr">
        <is>
          <t>Annual</t>
        </is>
      </c>
      <c r="D168" s="6" t="inlineStr">
        <is>
          <t>Legal</t>
        </is>
      </c>
      <c r="E168" s="6" t="inlineStr">
        <is>
          <t>51-200</t>
        </is>
      </c>
      <c r="F168" s="6" t="n">
        <v>40</v>
      </c>
      <c r="G168" s="6" t="n">
        <v>168.85</v>
      </c>
      <c r="H168" s="6" t="inlineStr">
        <is>
          <t>Organic Search</t>
        </is>
      </c>
      <c r="I168" s="6" t="inlineStr">
        <is>
          <t>North America</t>
        </is>
      </c>
      <c r="J168" s="7" t="n">
        <v>45650</v>
      </c>
      <c r="K168" s="6" t="inlineStr">
        <is>
          <t>No</t>
        </is>
      </c>
      <c r="L168" s="7" t="n"/>
      <c r="M168" s="6" t="n"/>
      <c r="N168" s="6" t="n">
        <v>10</v>
      </c>
      <c r="O168" s="6" t="n">
        <v>6</v>
      </c>
      <c r="P168" s="6" t="n">
        <v>35</v>
      </c>
      <c r="Q168" s="6" t="inlineStr">
        <is>
          <t>No</t>
        </is>
      </c>
      <c r="R168" s="6">
        <f>IF(K168="Yes",1,0)</f>
        <v/>
      </c>
      <c r="S168" s="6">
        <f>IF(K168="No",1,0)</f>
        <v/>
      </c>
      <c r="T168" s="6">
        <f>ROUND((IF(L168="",'Subscriptions'!$T$2,L168)-J168)/30.44,1)</f>
        <v/>
      </c>
      <c r="U168" s="6">
        <f>IF(AND(P168&lt;'Subscriptions'!$T$4,O168&lt;='Subscriptions'!$T$5),1,0)</f>
        <v/>
      </c>
    </row>
    <row r="169">
      <c r="A169" s="6" t="inlineStr">
        <is>
          <t>CUST-0168</t>
        </is>
      </c>
      <c r="B169" s="6" t="inlineStr">
        <is>
          <t>Business</t>
        </is>
      </c>
      <c r="C169" s="6" t="inlineStr">
        <is>
          <t>Monthly</t>
        </is>
      </c>
      <c r="D169" s="6" t="inlineStr">
        <is>
          <t>Legal</t>
        </is>
      </c>
      <c r="E169" s="6" t="inlineStr">
        <is>
          <t>11-50</t>
        </is>
      </c>
      <c r="F169" s="6" t="n">
        <v>29</v>
      </c>
      <c r="G169" s="6" t="n">
        <v>1034.8</v>
      </c>
      <c r="H169" s="6" t="inlineStr">
        <is>
          <t>Partner</t>
        </is>
      </c>
      <c r="I169" s="6" t="inlineStr">
        <is>
          <t>Europe</t>
        </is>
      </c>
      <c r="J169" s="7" t="n">
        <v>45021</v>
      </c>
      <c r="K169" s="6" t="inlineStr">
        <is>
          <t>Yes</t>
        </is>
      </c>
      <c r="L169" s="7" t="n">
        <v>45045</v>
      </c>
      <c r="M169" s="6" t="inlineStr">
        <is>
          <t>No Longer Needed</t>
        </is>
      </c>
      <c r="N169" s="6" t="n">
        <v>12</v>
      </c>
      <c r="O169" s="6" t="n">
        <v>6</v>
      </c>
      <c r="P169" s="6" t="n">
        <v>45</v>
      </c>
      <c r="Q169" s="6" t="inlineStr">
        <is>
          <t>No</t>
        </is>
      </c>
      <c r="R169" s="6">
        <f>IF(K169="Yes",1,0)</f>
        <v/>
      </c>
      <c r="S169" s="6">
        <f>IF(K169="No",1,0)</f>
        <v/>
      </c>
      <c r="T169" s="6">
        <f>ROUND((IF(L169="",'Subscriptions'!$T$2,L169)-J169)/30.44,1)</f>
        <v/>
      </c>
      <c r="U169" s="6">
        <f>IF(AND(P169&lt;'Subscriptions'!$T$4,O169&lt;='Subscriptions'!$T$5),1,0)</f>
        <v/>
      </c>
    </row>
    <row r="170">
      <c r="A170" s="6" t="inlineStr">
        <is>
          <t>CUST-0169</t>
        </is>
      </c>
      <c r="B170" s="6" t="inlineStr">
        <is>
          <t>Business</t>
        </is>
      </c>
      <c r="C170" s="6" t="inlineStr">
        <is>
          <t>Annual</t>
        </is>
      </c>
      <c r="D170" s="6" t="inlineStr">
        <is>
          <t>Consulting</t>
        </is>
      </c>
      <c r="E170" s="6" t="inlineStr">
        <is>
          <t>11-50</t>
        </is>
      </c>
      <c r="F170" s="6" t="n">
        <v>5</v>
      </c>
      <c r="G170" s="6" t="n">
        <v>270.64</v>
      </c>
      <c r="H170" s="6" t="inlineStr">
        <is>
          <t>Paid Ads</t>
        </is>
      </c>
      <c r="I170" s="6" t="inlineStr">
        <is>
          <t>North America</t>
        </is>
      </c>
      <c r="J170" s="7" t="n">
        <v>45266</v>
      </c>
      <c r="K170" s="6" t="inlineStr">
        <is>
          <t>No</t>
        </is>
      </c>
      <c r="L170" s="7" t="n"/>
      <c r="M170" s="6" t="n"/>
      <c r="N170" s="6" t="n">
        <v>0</v>
      </c>
      <c r="O170" s="6" t="n">
        <v>1</v>
      </c>
      <c r="P170" s="6" t="n">
        <v>55</v>
      </c>
      <c r="Q170" s="6" t="inlineStr">
        <is>
          <t>Yes</t>
        </is>
      </c>
      <c r="R170" s="6">
        <f>IF(K170="Yes",1,0)</f>
        <v/>
      </c>
      <c r="S170" s="6">
        <f>IF(K170="No",1,0)</f>
        <v/>
      </c>
      <c r="T170" s="6">
        <f>ROUND((IF(L170="",'Subscriptions'!$T$2,L170)-J170)/30.44,1)</f>
        <v/>
      </c>
      <c r="U170" s="6">
        <f>IF(AND(P170&lt;'Subscriptions'!$T$4,O170&lt;='Subscriptions'!$T$5),1,0)</f>
        <v/>
      </c>
    </row>
    <row r="171">
      <c r="A171" s="6" t="inlineStr">
        <is>
          <t>CUST-0170</t>
        </is>
      </c>
      <c r="B171" s="6" t="inlineStr">
        <is>
          <t>Business</t>
        </is>
      </c>
      <c r="C171" s="6" t="inlineStr">
        <is>
          <t>Monthly</t>
        </is>
      </c>
      <c r="D171" s="6" t="inlineStr">
        <is>
          <t>Media</t>
        </is>
      </c>
      <c r="E171" s="6" t="inlineStr">
        <is>
          <t>11-50</t>
        </is>
      </c>
      <c r="F171" s="6" t="n">
        <v>32</v>
      </c>
      <c r="G171" s="6" t="n">
        <v>1124.35</v>
      </c>
      <c r="H171" s="6" t="inlineStr">
        <is>
          <t>Social Media</t>
        </is>
      </c>
      <c r="I171" s="6" t="inlineStr">
        <is>
          <t>Asia Pacific</t>
        </is>
      </c>
      <c r="J171" s="7" t="n">
        <v>45582</v>
      </c>
      <c r="K171" s="6" t="inlineStr">
        <is>
          <t>No</t>
        </is>
      </c>
      <c r="L171" s="7" t="n"/>
      <c r="M171" s="6" t="n"/>
      <c r="N171" s="6" t="n">
        <v>1</v>
      </c>
      <c r="O171" s="6" t="n">
        <v>1</v>
      </c>
      <c r="P171" s="6" t="n">
        <v>91</v>
      </c>
      <c r="Q171" s="6" t="inlineStr">
        <is>
          <t>No</t>
        </is>
      </c>
      <c r="R171" s="6">
        <f>IF(K171="Yes",1,0)</f>
        <v/>
      </c>
      <c r="S171" s="6">
        <f>IF(K171="No",1,0)</f>
        <v/>
      </c>
      <c r="T171" s="6">
        <f>ROUND((IF(L171="",'Subscriptions'!$T$2,L171)-J171)/30.44,1)</f>
        <v/>
      </c>
      <c r="U171" s="6">
        <f>IF(AND(P171&lt;'Subscriptions'!$T$4,O171&lt;='Subscriptions'!$T$5),1,0)</f>
        <v/>
      </c>
    </row>
    <row r="172">
      <c r="A172" s="6" t="inlineStr">
        <is>
          <t>CUST-0171</t>
        </is>
      </c>
      <c r="B172" s="6" t="inlineStr">
        <is>
          <t>Starter</t>
        </is>
      </c>
      <c r="C172" s="6" t="inlineStr">
        <is>
          <t>Monthly</t>
        </is>
      </c>
      <c r="D172" s="6" t="inlineStr">
        <is>
          <t>Finance</t>
        </is>
      </c>
      <c r="E172" s="6" t="inlineStr">
        <is>
          <t>1-10</t>
        </is>
      </c>
      <c r="F172" s="6" t="n">
        <v>7</v>
      </c>
      <c r="G172" s="6" t="n">
        <v>55.1</v>
      </c>
      <c r="H172" s="6" t="inlineStr">
        <is>
          <t>Organic Search</t>
        </is>
      </c>
      <c r="I172" s="6" t="inlineStr">
        <is>
          <t>Europe</t>
        </is>
      </c>
      <c r="J172" s="7" t="n">
        <v>44822</v>
      </c>
      <c r="K172" s="6" t="inlineStr">
        <is>
          <t>Yes</t>
        </is>
      </c>
      <c r="L172" s="7" t="n">
        <v>45138</v>
      </c>
      <c r="M172" s="6" t="inlineStr">
        <is>
          <t>Budget Cuts</t>
        </is>
      </c>
      <c r="N172" s="6" t="n">
        <v>3</v>
      </c>
      <c r="O172" s="6" t="n">
        <v>2</v>
      </c>
      <c r="P172" s="6" t="n">
        <v>24</v>
      </c>
      <c r="Q172" s="6" t="inlineStr">
        <is>
          <t>No</t>
        </is>
      </c>
      <c r="R172" s="6">
        <f>IF(K172="Yes",1,0)</f>
        <v/>
      </c>
      <c r="S172" s="6">
        <f>IF(K172="No",1,0)</f>
        <v/>
      </c>
      <c r="T172" s="6">
        <f>ROUND((IF(L172="",'Subscriptions'!$T$2,L172)-J172)/30.44,1)</f>
        <v/>
      </c>
      <c r="U172" s="6">
        <f>IF(AND(P172&lt;'Subscriptions'!$T$4,O172&lt;='Subscriptions'!$T$5),1,0)</f>
        <v/>
      </c>
    </row>
    <row r="173">
      <c r="A173" s="6" t="inlineStr">
        <is>
          <t>CUST-0172</t>
        </is>
      </c>
      <c r="B173" s="6" t="inlineStr">
        <is>
          <t>Business</t>
        </is>
      </c>
      <c r="C173" s="6" t="inlineStr">
        <is>
          <t>Monthly</t>
        </is>
      </c>
      <c r="D173" s="6" t="inlineStr">
        <is>
          <t>Healthcare</t>
        </is>
      </c>
      <c r="E173" s="6" t="inlineStr">
        <is>
          <t>1-10</t>
        </is>
      </c>
      <c r="F173" s="6" t="n">
        <v>5</v>
      </c>
      <c r="G173" s="6" t="n">
        <v>318.4</v>
      </c>
      <c r="H173" s="6" t="inlineStr">
        <is>
          <t>Referral</t>
        </is>
      </c>
      <c r="I173" s="6" t="inlineStr">
        <is>
          <t>North America</t>
        </is>
      </c>
      <c r="J173" s="7" t="n">
        <v>44752</v>
      </c>
      <c r="K173" s="6" t="inlineStr">
        <is>
          <t>Yes</t>
        </is>
      </c>
      <c r="L173" s="7" t="n">
        <v>45420</v>
      </c>
      <c r="M173" s="6" t="inlineStr">
        <is>
          <t>No Longer Needed</t>
        </is>
      </c>
      <c r="N173" s="6" t="n">
        <v>14</v>
      </c>
      <c r="O173" s="6" t="n">
        <v>3</v>
      </c>
      <c r="P173" s="6" t="n">
        <v>38</v>
      </c>
      <c r="Q173" s="6" t="inlineStr">
        <is>
          <t>No</t>
        </is>
      </c>
      <c r="R173" s="6">
        <f>IF(K173="Yes",1,0)</f>
        <v/>
      </c>
      <c r="S173" s="6">
        <f>IF(K173="No",1,0)</f>
        <v/>
      </c>
      <c r="T173" s="6">
        <f>ROUND((IF(L173="",'Subscriptions'!$T$2,L173)-J173)/30.44,1)</f>
        <v/>
      </c>
      <c r="U173" s="6">
        <f>IF(AND(P173&lt;'Subscriptions'!$T$4,O173&lt;='Subscriptions'!$T$5),1,0)</f>
        <v/>
      </c>
    </row>
    <row r="174">
      <c r="A174" s="6" t="inlineStr">
        <is>
          <t>CUST-0173</t>
        </is>
      </c>
      <c r="B174" s="6" t="inlineStr">
        <is>
          <t>Professional</t>
        </is>
      </c>
      <c r="C174" s="6" t="inlineStr">
        <is>
          <t>Annual</t>
        </is>
      </c>
      <c r="D174" s="6" t="inlineStr">
        <is>
          <t>Media</t>
        </is>
      </c>
      <c r="E174" s="6" t="inlineStr">
        <is>
          <t>1-10</t>
        </is>
      </c>
      <c r="F174" s="6" t="n">
        <v>6</v>
      </c>
      <c r="G174" s="6" t="n">
        <v>117.51</v>
      </c>
      <c r="H174" s="6" t="inlineStr">
        <is>
          <t>Social Media</t>
        </is>
      </c>
      <c r="I174" s="6" t="inlineStr">
        <is>
          <t>Asia Pacific</t>
        </is>
      </c>
      <c r="J174" s="7" t="n">
        <v>45549</v>
      </c>
      <c r="K174" s="6" t="inlineStr">
        <is>
          <t>No</t>
        </is>
      </c>
      <c r="L174" s="7" t="n"/>
      <c r="M174" s="6" t="n"/>
      <c r="N174" s="6" t="n">
        <v>12</v>
      </c>
      <c r="O174" s="6" t="n">
        <v>9</v>
      </c>
      <c r="P174" s="6" t="n">
        <v>38</v>
      </c>
      <c r="Q174" s="6" t="inlineStr">
        <is>
          <t>No</t>
        </is>
      </c>
      <c r="R174" s="6">
        <f>IF(K174="Yes",1,0)</f>
        <v/>
      </c>
      <c r="S174" s="6">
        <f>IF(K174="No",1,0)</f>
        <v/>
      </c>
      <c r="T174" s="6">
        <f>ROUND((IF(L174="",'Subscriptions'!$T$2,L174)-J174)/30.44,1)</f>
        <v/>
      </c>
      <c r="U174" s="6">
        <f>IF(AND(P174&lt;'Subscriptions'!$T$4,O174&lt;='Subscriptions'!$T$5),1,0)</f>
        <v/>
      </c>
    </row>
    <row r="175">
      <c r="A175" s="6" t="inlineStr">
        <is>
          <t>CUST-0174</t>
        </is>
      </c>
      <c r="B175" s="6" t="inlineStr">
        <is>
          <t>Enterprise</t>
        </is>
      </c>
      <c r="C175" s="6" t="inlineStr">
        <is>
          <t>Annual</t>
        </is>
      </c>
      <c r="D175" s="6" t="inlineStr">
        <is>
          <t>Education</t>
        </is>
      </c>
      <c r="E175" s="6" t="inlineStr">
        <is>
          <t>201-500</t>
        </is>
      </c>
      <c r="F175" s="6" t="n">
        <v>65</v>
      </c>
      <c r="G175" s="6" t="n">
        <v>4495.99</v>
      </c>
      <c r="H175" s="6" t="inlineStr">
        <is>
          <t>Paid Ads</t>
        </is>
      </c>
      <c r="I175" s="6" t="inlineStr">
        <is>
          <t>North America</t>
        </is>
      </c>
      <c r="J175" s="7" t="n">
        <v>45626</v>
      </c>
      <c r="K175" s="6" t="inlineStr">
        <is>
          <t>No</t>
        </is>
      </c>
      <c r="L175" s="7" t="n"/>
      <c r="M175" s="6" t="n"/>
      <c r="N175" s="6" t="n">
        <v>10</v>
      </c>
      <c r="O175" s="6" t="n">
        <v>2</v>
      </c>
      <c r="P175" s="6" t="n">
        <v>91</v>
      </c>
      <c r="Q175" s="6" t="inlineStr">
        <is>
          <t>No</t>
        </is>
      </c>
      <c r="R175" s="6">
        <f>IF(K175="Yes",1,0)</f>
        <v/>
      </c>
      <c r="S175" s="6">
        <f>IF(K175="No",1,0)</f>
        <v/>
      </c>
      <c r="T175" s="6">
        <f>ROUND((IF(L175="",'Subscriptions'!$T$2,L175)-J175)/30.44,1)</f>
        <v/>
      </c>
      <c r="U175" s="6">
        <f>IF(AND(P175&lt;'Subscriptions'!$T$4,O175&lt;='Subscriptions'!$T$5),1,0)</f>
        <v/>
      </c>
    </row>
    <row r="176">
      <c r="A176" s="6" t="inlineStr">
        <is>
          <t>CUST-0175</t>
        </is>
      </c>
      <c r="B176" s="6" t="inlineStr">
        <is>
          <t>Business</t>
        </is>
      </c>
      <c r="C176" s="6" t="inlineStr">
        <is>
          <t>Annual</t>
        </is>
      </c>
      <c r="D176" s="6" t="inlineStr">
        <is>
          <t>Consulting</t>
        </is>
      </c>
      <c r="E176" s="6" t="inlineStr">
        <is>
          <t>51-200</t>
        </is>
      </c>
      <c r="F176" s="6" t="n">
        <v>50</v>
      </c>
      <c r="G176" s="6" t="n">
        <v>1412.4</v>
      </c>
      <c r="H176" s="6" t="inlineStr">
        <is>
          <t>Direct Sales</t>
        </is>
      </c>
      <c r="I176" s="6" t="inlineStr">
        <is>
          <t>North America</t>
        </is>
      </c>
      <c r="J176" s="7" t="n">
        <v>44845</v>
      </c>
      <c r="K176" s="6" t="inlineStr">
        <is>
          <t>No</t>
        </is>
      </c>
      <c r="L176" s="7" t="n"/>
      <c r="M176" s="6" t="n"/>
      <c r="N176" s="6" t="n">
        <v>12</v>
      </c>
      <c r="O176" s="6" t="n">
        <v>8</v>
      </c>
      <c r="P176" s="6" t="n">
        <v>26</v>
      </c>
      <c r="Q176" s="6" t="inlineStr">
        <is>
          <t>No</t>
        </is>
      </c>
      <c r="R176" s="6">
        <f>IF(K176="Yes",1,0)</f>
        <v/>
      </c>
      <c r="S176" s="6">
        <f>IF(K176="No",1,0)</f>
        <v/>
      </c>
      <c r="T176" s="6">
        <f>ROUND((IF(L176="",'Subscriptions'!$T$2,L176)-J176)/30.44,1)</f>
        <v/>
      </c>
      <c r="U176" s="6">
        <f>IF(AND(P176&lt;'Subscriptions'!$T$4,O176&lt;='Subscriptions'!$T$5),1,0)</f>
        <v/>
      </c>
    </row>
    <row r="177">
      <c r="A177" s="6" t="inlineStr">
        <is>
          <t>CUST-0176</t>
        </is>
      </c>
      <c r="B177" s="6" t="inlineStr">
        <is>
          <t>Starter</t>
        </is>
      </c>
      <c r="C177" s="6" t="inlineStr">
        <is>
          <t>Monthly</t>
        </is>
      </c>
      <c r="D177" s="6" t="inlineStr">
        <is>
          <t>Media</t>
        </is>
      </c>
      <c r="E177" s="6" t="inlineStr">
        <is>
          <t>500+</t>
        </is>
      </c>
      <c r="F177" s="6" t="n">
        <v>205</v>
      </c>
      <c r="G177" s="6" t="n">
        <v>916.4</v>
      </c>
      <c r="H177" s="6" t="inlineStr">
        <is>
          <t>Social Media</t>
        </is>
      </c>
      <c r="I177" s="6" t="inlineStr">
        <is>
          <t>North America</t>
        </is>
      </c>
      <c r="J177" s="7" t="n">
        <v>45144</v>
      </c>
      <c r="K177" s="6" t="inlineStr">
        <is>
          <t>Yes</t>
        </is>
      </c>
      <c r="L177" s="7" t="n">
        <v>45180</v>
      </c>
      <c r="M177" s="6" t="inlineStr">
        <is>
          <t>Budget Cuts</t>
        </is>
      </c>
      <c r="N177" s="6" t="n">
        <v>7</v>
      </c>
      <c r="O177" s="6" t="n">
        <v>3</v>
      </c>
      <c r="P177" s="6" t="n">
        <v>19</v>
      </c>
      <c r="Q177" s="6" t="inlineStr">
        <is>
          <t>No</t>
        </is>
      </c>
      <c r="R177" s="6">
        <f>IF(K177="Yes",1,0)</f>
        <v/>
      </c>
      <c r="S177" s="6">
        <f>IF(K177="No",1,0)</f>
        <v/>
      </c>
      <c r="T177" s="6">
        <f>ROUND((IF(L177="",'Subscriptions'!$T$2,L177)-J177)/30.44,1)</f>
        <v/>
      </c>
      <c r="U177" s="6">
        <f>IF(AND(P177&lt;'Subscriptions'!$T$4,O177&lt;='Subscriptions'!$T$5),1,0)</f>
        <v/>
      </c>
    </row>
    <row r="178">
      <c r="A178" s="6" t="inlineStr">
        <is>
          <t>CUST-0177</t>
        </is>
      </c>
      <c r="B178" s="6" t="inlineStr">
        <is>
          <t>Professional</t>
        </is>
      </c>
      <c r="C178" s="6" t="inlineStr">
        <is>
          <t>Monthly</t>
        </is>
      </c>
      <c r="D178" s="6" t="inlineStr">
        <is>
          <t>Technology</t>
        </is>
      </c>
      <c r="E178" s="6" t="inlineStr">
        <is>
          <t>500+</t>
        </is>
      </c>
      <c r="F178" s="6" t="n">
        <v>239</v>
      </c>
      <c r="G178" s="6" t="n">
        <v>2899.3</v>
      </c>
      <c r="H178" s="6" t="inlineStr">
        <is>
          <t>Partner</t>
        </is>
      </c>
      <c r="I178" s="6" t="inlineStr">
        <is>
          <t>Asia Pacific</t>
        </is>
      </c>
      <c r="J178" s="7" t="n">
        <v>45632</v>
      </c>
      <c r="K178" s="6" t="inlineStr">
        <is>
          <t>Yes</t>
        </is>
      </c>
      <c r="L178" s="7" t="n">
        <v>45970</v>
      </c>
      <c r="M178" s="6" t="inlineStr">
        <is>
          <t>Poor Support</t>
        </is>
      </c>
      <c r="N178" s="6" t="n">
        <v>4</v>
      </c>
      <c r="O178" s="6" t="n">
        <v>6</v>
      </c>
      <c r="P178" s="6" t="n">
        <v>14</v>
      </c>
      <c r="Q178" s="6" t="inlineStr">
        <is>
          <t>No</t>
        </is>
      </c>
      <c r="R178" s="6">
        <f>IF(K178="Yes",1,0)</f>
        <v/>
      </c>
      <c r="S178" s="6">
        <f>IF(K178="No",1,0)</f>
        <v/>
      </c>
      <c r="T178" s="6">
        <f>ROUND((IF(L178="",'Subscriptions'!$T$2,L178)-J178)/30.44,1)</f>
        <v/>
      </c>
      <c r="U178" s="6">
        <f>IF(AND(P178&lt;'Subscriptions'!$T$4,O178&lt;='Subscriptions'!$T$5),1,0)</f>
        <v/>
      </c>
    </row>
    <row r="179">
      <c r="A179" s="6" t="inlineStr">
        <is>
          <t>CUST-0178</t>
        </is>
      </c>
      <c r="B179" s="6" t="inlineStr">
        <is>
          <t>Professional</t>
        </is>
      </c>
      <c r="C179" s="6" t="inlineStr">
        <is>
          <t>Annual</t>
        </is>
      </c>
      <c r="D179" s="6" t="inlineStr">
        <is>
          <t>Manufacturing</t>
        </is>
      </c>
      <c r="E179" s="6" t="inlineStr">
        <is>
          <t>11-50</t>
        </is>
      </c>
      <c r="F179" s="6" t="n">
        <v>31</v>
      </c>
      <c r="G179" s="6" t="n">
        <v>369.33</v>
      </c>
      <c r="H179" s="6" t="inlineStr">
        <is>
          <t>Direct Sales</t>
        </is>
      </c>
      <c r="I179" s="6" t="inlineStr">
        <is>
          <t>Asia Pacific</t>
        </is>
      </c>
      <c r="J179" s="7" t="n">
        <v>45546</v>
      </c>
      <c r="K179" s="6" t="inlineStr">
        <is>
          <t>No</t>
        </is>
      </c>
      <c r="L179" s="7" t="n"/>
      <c r="M179" s="6" t="n"/>
      <c r="N179" s="6" t="n">
        <v>4</v>
      </c>
      <c r="O179" s="6" t="n">
        <v>6</v>
      </c>
      <c r="P179" s="6" t="n">
        <v>81</v>
      </c>
      <c r="Q179" s="6" t="inlineStr">
        <is>
          <t>No</t>
        </is>
      </c>
      <c r="R179" s="6">
        <f>IF(K179="Yes",1,0)</f>
        <v/>
      </c>
      <c r="S179" s="6">
        <f>IF(K179="No",1,0)</f>
        <v/>
      </c>
      <c r="T179" s="6">
        <f>ROUND((IF(L179="",'Subscriptions'!$T$2,L179)-J179)/30.44,1)</f>
        <v/>
      </c>
      <c r="U179" s="6">
        <f>IF(AND(P179&lt;'Subscriptions'!$T$4,O179&lt;='Subscriptions'!$T$5),1,0)</f>
        <v/>
      </c>
    </row>
    <row r="180">
      <c r="A180" s="6" t="inlineStr">
        <is>
          <t>CUST-0179</t>
        </is>
      </c>
      <c r="B180" s="6" t="inlineStr">
        <is>
          <t>Starter</t>
        </is>
      </c>
      <c r="C180" s="6" t="inlineStr">
        <is>
          <t>Monthly</t>
        </is>
      </c>
      <c r="D180" s="6" t="inlineStr">
        <is>
          <t>Consulting</t>
        </is>
      </c>
      <c r="E180" s="6" t="inlineStr">
        <is>
          <t>51-200</t>
        </is>
      </c>
      <c r="F180" s="6" t="n">
        <v>67</v>
      </c>
      <c r="G180" s="6" t="n">
        <v>316.1</v>
      </c>
      <c r="H180" s="6" t="inlineStr">
        <is>
          <t>Referral</t>
        </is>
      </c>
      <c r="I180" s="6" t="inlineStr">
        <is>
          <t>Europe</t>
        </is>
      </c>
      <c r="J180" s="7" t="n">
        <v>45468</v>
      </c>
      <c r="K180" s="6" t="inlineStr">
        <is>
          <t>No</t>
        </is>
      </c>
      <c r="L180" s="7" t="n"/>
      <c r="M180" s="6" t="n"/>
      <c r="N180" s="6" t="n">
        <v>3</v>
      </c>
      <c r="O180" s="6" t="n">
        <v>10</v>
      </c>
      <c r="P180" s="6" t="n">
        <v>26</v>
      </c>
      <c r="Q180" s="6" t="inlineStr">
        <is>
          <t>No</t>
        </is>
      </c>
      <c r="R180" s="6">
        <f>IF(K180="Yes",1,0)</f>
        <v/>
      </c>
      <c r="S180" s="6">
        <f>IF(K180="No",1,0)</f>
        <v/>
      </c>
      <c r="T180" s="6">
        <f>ROUND((IF(L180="",'Subscriptions'!$T$2,L180)-J180)/30.44,1)</f>
        <v/>
      </c>
      <c r="U180" s="6">
        <f>IF(AND(P180&lt;'Subscriptions'!$T$4,O180&lt;='Subscriptions'!$T$5),1,0)</f>
        <v/>
      </c>
    </row>
    <row r="181">
      <c r="A181" s="6" t="inlineStr">
        <is>
          <t>CUST-0180</t>
        </is>
      </c>
      <c r="B181" s="6" t="inlineStr">
        <is>
          <t>Professional</t>
        </is>
      </c>
      <c r="C181" s="6" t="inlineStr">
        <is>
          <t>Annual</t>
        </is>
      </c>
      <c r="D181" s="6" t="inlineStr">
        <is>
          <t>Real Estate</t>
        </is>
      </c>
      <c r="E181" s="6" t="inlineStr">
        <is>
          <t>51-200</t>
        </is>
      </c>
      <c r="F181" s="6" t="n">
        <v>29</v>
      </c>
      <c r="G181" s="6" t="n">
        <v>349.18</v>
      </c>
      <c r="H181" s="6" t="inlineStr">
        <is>
          <t>Referral</t>
        </is>
      </c>
      <c r="I181" s="6" t="inlineStr">
        <is>
          <t>North America</t>
        </is>
      </c>
      <c r="J181" s="7" t="n">
        <v>44846</v>
      </c>
      <c r="K181" s="6" t="inlineStr">
        <is>
          <t>Yes</t>
        </is>
      </c>
      <c r="L181" s="7" t="n">
        <v>45741</v>
      </c>
      <c r="M181" s="6" t="inlineStr">
        <is>
          <t>Budget Cuts</t>
        </is>
      </c>
      <c r="N181" s="6" t="n">
        <v>2</v>
      </c>
      <c r="O181" s="6" t="n">
        <v>5</v>
      </c>
      <c r="P181" s="6" t="n">
        <v>42</v>
      </c>
      <c r="Q181" s="6" t="inlineStr">
        <is>
          <t>No</t>
        </is>
      </c>
      <c r="R181" s="6">
        <f>IF(K181="Yes",1,0)</f>
        <v/>
      </c>
      <c r="S181" s="6">
        <f>IF(K181="No",1,0)</f>
        <v/>
      </c>
      <c r="T181" s="6">
        <f>ROUND((IF(L181="",'Subscriptions'!$T$2,L181)-J181)/30.44,1)</f>
        <v/>
      </c>
      <c r="U181" s="6">
        <f>IF(AND(P181&lt;'Subscriptions'!$T$4,O181&lt;='Subscriptions'!$T$5),1,0)</f>
        <v/>
      </c>
    </row>
    <row r="182">
      <c r="A182" s="6" t="inlineStr">
        <is>
          <t>CUST-0181</t>
        </is>
      </c>
      <c r="B182" s="6" t="inlineStr">
        <is>
          <t>Professional</t>
        </is>
      </c>
      <c r="C182" s="6" t="inlineStr">
        <is>
          <t>Monthly</t>
        </is>
      </c>
      <c r="D182" s="6" t="inlineStr">
        <is>
          <t>Education</t>
        </is>
      </c>
      <c r="E182" s="6" t="inlineStr">
        <is>
          <t>1-10</t>
        </is>
      </c>
      <c r="F182" s="6" t="n">
        <v>4</v>
      </c>
      <c r="G182" s="6" t="n">
        <v>114.55</v>
      </c>
      <c r="H182" s="6" t="inlineStr">
        <is>
          <t>Paid Ads</t>
        </is>
      </c>
      <c r="I182" s="6" t="inlineStr">
        <is>
          <t>North America</t>
        </is>
      </c>
      <c r="J182" s="7" t="n">
        <v>45330</v>
      </c>
      <c r="K182" s="6" t="inlineStr">
        <is>
          <t>Yes</t>
        </is>
      </c>
      <c r="L182" s="7" t="n">
        <v>45405</v>
      </c>
      <c r="M182" s="6" t="inlineStr">
        <is>
          <t>Price Too High</t>
        </is>
      </c>
      <c r="N182" s="6" t="n">
        <v>9</v>
      </c>
      <c r="O182" s="6" t="n">
        <v>4</v>
      </c>
      <c r="P182" s="6" t="n">
        <v>44</v>
      </c>
      <c r="Q182" s="6" t="inlineStr">
        <is>
          <t>No</t>
        </is>
      </c>
      <c r="R182" s="6">
        <f>IF(K182="Yes",1,0)</f>
        <v/>
      </c>
      <c r="S182" s="6">
        <f>IF(K182="No",1,0)</f>
        <v/>
      </c>
      <c r="T182" s="6">
        <f>ROUND((IF(L182="",'Subscriptions'!$T$2,L182)-J182)/30.44,1)</f>
        <v/>
      </c>
      <c r="U182" s="6">
        <f>IF(AND(P182&lt;'Subscriptions'!$T$4,O182&lt;='Subscriptions'!$T$5),1,0)</f>
        <v/>
      </c>
    </row>
    <row r="183">
      <c r="A183" s="6" t="inlineStr">
        <is>
          <t>CUST-0182</t>
        </is>
      </c>
      <c r="B183" s="6" t="inlineStr">
        <is>
          <t>Professional</t>
        </is>
      </c>
      <c r="C183" s="6" t="inlineStr">
        <is>
          <t>Annual</t>
        </is>
      </c>
      <c r="D183" s="6" t="inlineStr">
        <is>
          <t>Real Estate</t>
        </is>
      </c>
      <c r="E183" s="6" t="inlineStr">
        <is>
          <t>51-200</t>
        </is>
      </c>
      <c r="F183" s="6" t="n">
        <v>76</v>
      </c>
      <c r="G183" s="6" t="n">
        <v>822.59</v>
      </c>
      <c r="H183" s="6" t="inlineStr">
        <is>
          <t>Partner</t>
        </is>
      </c>
      <c r="I183" s="6" t="inlineStr">
        <is>
          <t>Europe</t>
        </is>
      </c>
      <c r="J183" s="7" t="n">
        <v>45414</v>
      </c>
      <c r="K183" s="6" t="inlineStr">
        <is>
          <t>No</t>
        </is>
      </c>
      <c r="L183" s="7" t="n"/>
      <c r="M183" s="6" t="n"/>
      <c r="N183" s="6" t="n">
        <v>9</v>
      </c>
      <c r="O183" s="6" t="n">
        <v>6</v>
      </c>
      <c r="P183" s="6" t="n">
        <v>37</v>
      </c>
      <c r="Q183" s="6" t="inlineStr">
        <is>
          <t>No</t>
        </is>
      </c>
      <c r="R183" s="6">
        <f>IF(K183="Yes",1,0)</f>
        <v/>
      </c>
      <c r="S183" s="6">
        <f>IF(K183="No",1,0)</f>
        <v/>
      </c>
      <c r="T183" s="6">
        <f>ROUND((IF(L183="",'Subscriptions'!$T$2,L183)-J183)/30.44,1)</f>
        <v/>
      </c>
      <c r="U183" s="6">
        <f>IF(AND(P183&lt;'Subscriptions'!$T$4,O183&lt;='Subscriptions'!$T$5),1,0)</f>
        <v/>
      </c>
    </row>
    <row r="184">
      <c r="A184" s="6" t="inlineStr">
        <is>
          <t>CUST-0183</t>
        </is>
      </c>
      <c r="B184" s="6" t="inlineStr">
        <is>
          <t>Starter</t>
        </is>
      </c>
      <c r="C184" s="6" t="inlineStr">
        <is>
          <t>Annual</t>
        </is>
      </c>
      <c r="D184" s="6" t="inlineStr">
        <is>
          <t>Education</t>
        </is>
      </c>
      <c r="E184" s="6" t="inlineStr">
        <is>
          <t>201-500</t>
        </is>
      </c>
      <c r="F184" s="6" t="n">
        <v>83</v>
      </c>
      <c r="G184" s="6" t="n">
        <v>327.84</v>
      </c>
      <c r="H184" s="6" t="inlineStr">
        <is>
          <t>Partner</t>
        </is>
      </c>
      <c r="I184" s="6" t="inlineStr">
        <is>
          <t>North America</t>
        </is>
      </c>
      <c r="J184" s="7" t="n">
        <v>45200</v>
      </c>
      <c r="K184" s="6" t="inlineStr">
        <is>
          <t>Yes</t>
        </is>
      </c>
      <c r="L184" s="7" t="n">
        <v>45663</v>
      </c>
      <c r="M184" s="6" t="inlineStr">
        <is>
          <t>Budget Cuts</t>
        </is>
      </c>
      <c r="N184" s="6" t="n">
        <v>8</v>
      </c>
      <c r="O184" s="6" t="n">
        <v>4</v>
      </c>
      <c r="P184" s="6" t="n">
        <v>26</v>
      </c>
      <c r="Q184" s="6" t="inlineStr">
        <is>
          <t>No</t>
        </is>
      </c>
      <c r="R184" s="6">
        <f>IF(K184="Yes",1,0)</f>
        <v/>
      </c>
      <c r="S184" s="6">
        <f>IF(K184="No",1,0)</f>
        <v/>
      </c>
      <c r="T184" s="6">
        <f>ROUND((IF(L184="",'Subscriptions'!$T$2,L184)-J184)/30.44,1)</f>
        <v/>
      </c>
      <c r="U184" s="6">
        <f>IF(AND(P184&lt;'Subscriptions'!$T$4,O184&lt;='Subscriptions'!$T$5),1,0)</f>
        <v/>
      </c>
    </row>
    <row r="185">
      <c r="A185" s="6" t="inlineStr">
        <is>
          <t>CUST-0184</t>
        </is>
      </c>
      <c r="B185" s="6" t="inlineStr">
        <is>
          <t>Starter</t>
        </is>
      </c>
      <c r="C185" s="6" t="inlineStr">
        <is>
          <t>Monthly</t>
        </is>
      </c>
      <c r="D185" s="6" t="inlineStr">
        <is>
          <t>Manufacturing</t>
        </is>
      </c>
      <c r="E185" s="6" t="inlineStr">
        <is>
          <t>1-10</t>
        </is>
      </c>
      <c r="F185" s="6" t="n">
        <v>7</v>
      </c>
      <c r="G185" s="6" t="n">
        <v>55.1</v>
      </c>
      <c r="H185" s="6" t="inlineStr">
        <is>
          <t>Partner</t>
        </is>
      </c>
      <c r="I185" s="6" t="inlineStr">
        <is>
          <t>Europe</t>
        </is>
      </c>
      <c r="J185" s="7" t="n">
        <v>45616</v>
      </c>
      <c r="K185" s="6" t="inlineStr">
        <is>
          <t>No</t>
        </is>
      </c>
      <c r="L185" s="7" t="n"/>
      <c r="M185" s="6" t="n"/>
      <c r="N185" s="6" t="n">
        <v>8</v>
      </c>
      <c r="O185" s="6" t="n">
        <v>2</v>
      </c>
      <c r="P185" s="6" t="n">
        <v>63</v>
      </c>
      <c r="Q185" s="6" t="inlineStr">
        <is>
          <t>No</t>
        </is>
      </c>
      <c r="R185" s="6">
        <f>IF(K185="Yes",1,0)</f>
        <v/>
      </c>
      <c r="S185" s="6">
        <f>IF(K185="No",1,0)</f>
        <v/>
      </c>
      <c r="T185" s="6">
        <f>ROUND((IF(L185="",'Subscriptions'!$T$2,L185)-J185)/30.44,1)</f>
        <v/>
      </c>
      <c r="U185" s="6">
        <f>IF(AND(P185&lt;'Subscriptions'!$T$4,O185&lt;='Subscriptions'!$T$5),1,0)</f>
        <v/>
      </c>
    </row>
    <row r="186">
      <c r="A186" s="6" t="inlineStr">
        <is>
          <t>CUST-0185</t>
        </is>
      </c>
      <c r="B186" s="6" t="inlineStr">
        <is>
          <t>Professional</t>
        </is>
      </c>
      <c r="C186" s="6" t="inlineStr">
        <is>
          <t>Annual</t>
        </is>
      </c>
      <c r="D186" s="6" t="inlineStr">
        <is>
          <t>Media</t>
        </is>
      </c>
      <c r="E186" s="6" t="inlineStr">
        <is>
          <t>201-500</t>
        </is>
      </c>
      <c r="F186" s="6" t="n">
        <v>96</v>
      </c>
      <c r="G186" s="6" t="n">
        <v>1024.04</v>
      </c>
      <c r="H186" s="6" t="inlineStr">
        <is>
          <t>Referral</t>
        </is>
      </c>
      <c r="I186" s="6" t="inlineStr">
        <is>
          <t>North America</t>
        </is>
      </c>
      <c r="J186" s="7" t="n">
        <v>45978</v>
      </c>
      <c r="K186" s="6" t="inlineStr">
        <is>
          <t>No</t>
        </is>
      </c>
      <c r="L186" s="7" t="n"/>
      <c r="M186" s="6" t="n"/>
      <c r="N186" s="6" t="n">
        <v>3</v>
      </c>
      <c r="O186" s="6" t="n">
        <v>8</v>
      </c>
      <c r="P186" s="6" t="n">
        <v>48</v>
      </c>
      <c r="Q186" s="6" t="inlineStr">
        <is>
          <t>No</t>
        </is>
      </c>
      <c r="R186" s="6">
        <f>IF(K186="Yes",1,0)</f>
        <v/>
      </c>
      <c r="S186" s="6">
        <f>IF(K186="No",1,0)</f>
        <v/>
      </c>
      <c r="T186" s="6">
        <f>ROUND((IF(L186="",'Subscriptions'!$T$2,L186)-J186)/30.44,1)</f>
        <v/>
      </c>
      <c r="U186" s="6">
        <f>IF(AND(P186&lt;'Subscriptions'!$T$4,O186&lt;='Subscriptions'!$T$5),1,0)</f>
        <v/>
      </c>
    </row>
    <row r="187">
      <c r="A187" s="6" t="inlineStr">
        <is>
          <t>CUST-0186</t>
        </is>
      </c>
      <c r="B187" s="6" t="inlineStr">
        <is>
          <t>Business</t>
        </is>
      </c>
      <c r="C187" s="6" t="inlineStr">
        <is>
          <t>Monthly</t>
        </is>
      </c>
      <c r="D187" s="6" t="inlineStr">
        <is>
          <t>Finance</t>
        </is>
      </c>
      <c r="E187" s="6" t="inlineStr">
        <is>
          <t>1-10</t>
        </is>
      </c>
      <c r="F187" s="6" t="n">
        <v>6</v>
      </c>
      <c r="G187" s="6" t="n">
        <v>348.25</v>
      </c>
      <c r="H187" s="6" t="inlineStr">
        <is>
          <t>Partner</t>
        </is>
      </c>
      <c r="I187" s="6" t="inlineStr">
        <is>
          <t>Asia Pacific</t>
        </is>
      </c>
      <c r="J187" s="7" t="n">
        <v>45833</v>
      </c>
      <c r="K187" s="6" t="inlineStr">
        <is>
          <t>Yes</t>
        </is>
      </c>
      <c r="L187" s="7" t="n">
        <v>45989</v>
      </c>
      <c r="M187" s="6" t="inlineStr">
        <is>
          <t>Budget Cuts</t>
        </is>
      </c>
      <c r="N187" s="6" t="n">
        <v>3</v>
      </c>
      <c r="O187" s="6" t="n">
        <v>2</v>
      </c>
      <c r="P187" s="6" t="n">
        <v>17</v>
      </c>
      <c r="Q187" s="6" t="inlineStr">
        <is>
          <t>No</t>
        </is>
      </c>
      <c r="R187" s="6">
        <f>IF(K187="Yes",1,0)</f>
        <v/>
      </c>
      <c r="S187" s="6">
        <f>IF(K187="No",1,0)</f>
        <v/>
      </c>
      <c r="T187" s="6">
        <f>ROUND((IF(L187="",'Subscriptions'!$T$2,L187)-J187)/30.44,1)</f>
        <v/>
      </c>
      <c r="U187" s="6">
        <f>IF(AND(P187&lt;'Subscriptions'!$T$4,O187&lt;='Subscriptions'!$T$5),1,0)</f>
        <v/>
      </c>
    </row>
    <row r="188">
      <c r="A188" s="6" t="inlineStr">
        <is>
          <t>CUST-0187</t>
        </is>
      </c>
      <c r="B188" s="6" t="inlineStr">
        <is>
          <t>Professional</t>
        </is>
      </c>
      <c r="C188" s="6" t="inlineStr">
        <is>
          <t>Monthly</t>
        </is>
      </c>
      <c r="D188" s="6" t="inlineStr">
        <is>
          <t>Education</t>
        </is>
      </c>
      <c r="E188" s="6" t="inlineStr">
        <is>
          <t>1-10</t>
        </is>
      </c>
      <c r="F188" s="6" t="n">
        <v>4</v>
      </c>
      <c r="G188" s="6" t="n">
        <v>114.55</v>
      </c>
      <c r="H188" s="6" t="inlineStr">
        <is>
          <t>Paid Ads</t>
        </is>
      </c>
      <c r="I188" s="6" t="inlineStr">
        <is>
          <t>Asia Pacific</t>
        </is>
      </c>
      <c r="J188" s="7" t="n">
        <v>45545</v>
      </c>
      <c r="K188" s="6" t="inlineStr">
        <is>
          <t>Yes</t>
        </is>
      </c>
      <c r="L188" s="7" t="n">
        <v>45626</v>
      </c>
      <c r="M188" s="6" t="inlineStr">
        <is>
          <t>Price Too High</t>
        </is>
      </c>
      <c r="N188" s="6" t="n">
        <v>9</v>
      </c>
      <c r="O188" s="6" t="n">
        <v>3</v>
      </c>
      <c r="P188" s="6" t="n">
        <v>24</v>
      </c>
      <c r="Q188" s="6" t="inlineStr">
        <is>
          <t>No</t>
        </is>
      </c>
      <c r="R188" s="6">
        <f>IF(K188="Yes",1,0)</f>
        <v/>
      </c>
      <c r="S188" s="6">
        <f>IF(K188="No",1,0)</f>
        <v/>
      </c>
      <c r="T188" s="6">
        <f>ROUND((IF(L188="",'Subscriptions'!$T$2,L188)-J188)/30.44,1)</f>
        <v/>
      </c>
      <c r="U188" s="6">
        <f>IF(AND(P188&lt;'Subscriptions'!$T$4,O188&lt;='Subscriptions'!$T$5),1,0)</f>
        <v/>
      </c>
    </row>
    <row r="189">
      <c r="A189" s="6" t="inlineStr">
        <is>
          <t>CUST-0188</t>
        </is>
      </c>
      <c r="B189" s="6" t="inlineStr">
        <is>
          <t>Business</t>
        </is>
      </c>
      <c r="C189" s="6" t="inlineStr">
        <is>
          <t>Monthly</t>
        </is>
      </c>
      <c r="D189" s="6" t="inlineStr">
        <is>
          <t>Healthcare</t>
        </is>
      </c>
      <c r="E189" s="6" t="inlineStr">
        <is>
          <t>11-50</t>
        </is>
      </c>
      <c r="F189" s="6" t="n">
        <v>28</v>
      </c>
      <c r="G189" s="6" t="n">
        <v>1004.95</v>
      </c>
      <c r="H189" s="6" t="inlineStr">
        <is>
          <t>Referral</t>
        </is>
      </c>
      <c r="I189" s="6" t="inlineStr">
        <is>
          <t>Asia Pacific</t>
        </is>
      </c>
      <c r="J189" s="7" t="n">
        <v>44784</v>
      </c>
      <c r="K189" s="6" t="inlineStr">
        <is>
          <t>Yes</t>
        </is>
      </c>
      <c r="L189" s="7" t="n">
        <v>45650</v>
      </c>
      <c r="M189" s="6" t="inlineStr">
        <is>
          <t>Switched Competitor</t>
        </is>
      </c>
      <c r="N189" s="6" t="n">
        <v>13</v>
      </c>
      <c r="O189" s="6" t="n">
        <v>4</v>
      </c>
      <c r="P189" s="6" t="n">
        <v>15</v>
      </c>
      <c r="Q189" s="6" t="inlineStr">
        <is>
          <t>No</t>
        </is>
      </c>
      <c r="R189" s="6">
        <f>IF(K189="Yes",1,0)</f>
        <v/>
      </c>
      <c r="S189" s="6">
        <f>IF(K189="No",1,0)</f>
        <v/>
      </c>
      <c r="T189" s="6">
        <f>ROUND((IF(L189="",'Subscriptions'!$T$2,L189)-J189)/30.44,1)</f>
        <v/>
      </c>
      <c r="U189" s="6">
        <f>IF(AND(P189&lt;'Subscriptions'!$T$4,O189&lt;='Subscriptions'!$T$5),1,0)</f>
        <v/>
      </c>
    </row>
    <row r="190">
      <c r="A190" s="6" t="inlineStr">
        <is>
          <t>CUST-0189</t>
        </is>
      </c>
      <c r="B190" s="6" t="inlineStr">
        <is>
          <t>Starter</t>
        </is>
      </c>
      <c r="C190" s="6" t="inlineStr">
        <is>
          <t>Monthly</t>
        </is>
      </c>
      <c r="D190" s="6" t="inlineStr">
        <is>
          <t>Consulting</t>
        </is>
      </c>
      <c r="E190" s="6" t="inlineStr">
        <is>
          <t>201-500</t>
        </is>
      </c>
      <c r="F190" s="6" t="n">
        <v>141</v>
      </c>
      <c r="G190" s="6" t="n">
        <v>638</v>
      </c>
      <c r="H190" s="6" t="inlineStr">
        <is>
          <t>Direct Sales</t>
        </is>
      </c>
      <c r="I190" s="6" t="inlineStr">
        <is>
          <t>North America</t>
        </is>
      </c>
      <c r="J190" s="7" t="n">
        <v>45911</v>
      </c>
      <c r="K190" s="6" t="inlineStr">
        <is>
          <t>No</t>
        </is>
      </c>
      <c r="L190" s="7" t="n"/>
      <c r="M190" s="6" t="n"/>
      <c r="N190" s="6" t="n">
        <v>11</v>
      </c>
      <c r="O190" s="6" t="n">
        <v>4</v>
      </c>
      <c r="P190" s="6" t="n">
        <v>88</v>
      </c>
      <c r="Q190" s="6" t="inlineStr">
        <is>
          <t>No</t>
        </is>
      </c>
      <c r="R190" s="6">
        <f>IF(K190="Yes",1,0)</f>
        <v/>
      </c>
      <c r="S190" s="6">
        <f>IF(K190="No",1,0)</f>
        <v/>
      </c>
      <c r="T190" s="6">
        <f>ROUND((IF(L190="",'Subscriptions'!$T$2,L190)-J190)/30.44,1)</f>
        <v/>
      </c>
      <c r="U190" s="6">
        <f>IF(AND(P190&lt;'Subscriptions'!$T$4,O190&lt;='Subscriptions'!$T$5),1,0)</f>
        <v/>
      </c>
    </row>
    <row r="191">
      <c r="A191" s="6" t="inlineStr">
        <is>
          <t>CUST-0190</t>
        </is>
      </c>
      <c r="B191" s="6" t="inlineStr">
        <is>
          <t>Professional</t>
        </is>
      </c>
      <c r="C191" s="6" t="inlineStr">
        <is>
          <t>Monthly</t>
        </is>
      </c>
      <c r="D191" s="6" t="inlineStr">
        <is>
          <t>Consulting</t>
        </is>
      </c>
      <c r="E191" s="6" t="inlineStr">
        <is>
          <t>51-200</t>
        </is>
      </c>
      <c r="F191" s="6" t="n">
        <v>70</v>
      </c>
      <c r="G191" s="6" t="n">
        <v>896.65</v>
      </c>
      <c r="H191" s="6" t="inlineStr">
        <is>
          <t>Social Media</t>
        </is>
      </c>
      <c r="I191" s="6" t="inlineStr">
        <is>
          <t>North America</t>
        </is>
      </c>
      <c r="J191" s="7" t="n">
        <v>45117</v>
      </c>
      <c r="K191" s="6" t="inlineStr">
        <is>
          <t>No</t>
        </is>
      </c>
      <c r="L191" s="7" t="n"/>
      <c r="M191" s="6" t="n"/>
      <c r="N191" s="6" t="n">
        <v>7</v>
      </c>
      <c r="O191" s="6" t="n">
        <v>10</v>
      </c>
      <c r="P191" s="6" t="n">
        <v>63</v>
      </c>
      <c r="Q191" s="6" t="inlineStr">
        <is>
          <t>No</t>
        </is>
      </c>
      <c r="R191" s="6">
        <f>IF(K191="Yes",1,0)</f>
        <v/>
      </c>
      <c r="S191" s="6">
        <f>IF(K191="No",1,0)</f>
        <v/>
      </c>
      <c r="T191" s="6">
        <f>ROUND((IF(L191="",'Subscriptions'!$T$2,L191)-J191)/30.44,1)</f>
        <v/>
      </c>
      <c r="U191" s="6">
        <f>IF(AND(P191&lt;'Subscriptions'!$T$4,O191&lt;='Subscriptions'!$T$5),1,0)</f>
        <v/>
      </c>
    </row>
    <row r="192">
      <c r="A192" s="6" t="inlineStr">
        <is>
          <t>CUST-0191</t>
        </is>
      </c>
      <c r="B192" s="6" t="inlineStr">
        <is>
          <t>Starter</t>
        </is>
      </c>
      <c r="C192" s="6" t="inlineStr">
        <is>
          <t>Monthly</t>
        </is>
      </c>
      <c r="D192" s="6" t="inlineStr">
        <is>
          <t>Media</t>
        </is>
      </c>
      <c r="E192" s="6" t="inlineStr">
        <is>
          <t>11-50</t>
        </is>
      </c>
      <c r="F192" s="6" t="n">
        <v>30</v>
      </c>
      <c r="G192" s="6" t="n">
        <v>155.15</v>
      </c>
      <c r="H192" s="6" t="inlineStr">
        <is>
          <t>Partner</t>
        </is>
      </c>
      <c r="I192" s="6" t="inlineStr">
        <is>
          <t>North America</t>
        </is>
      </c>
      <c r="J192" s="7" t="n">
        <v>44916</v>
      </c>
      <c r="K192" s="6" t="inlineStr">
        <is>
          <t>Yes</t>
        </is>
      </c>
      <c r="L192" s="7" t="n">
        <v>44951</v>
      </c>
      <c r="M192" s="6" t="inlineStr">
        <is>
          <t>No Longer Needed</t>
        </is>
      </c>
      <c r="N192" s="6" t="n">
        <v>15</v>
      </c>
      <c r="O192" s="6" t="n">
        <v>2</v>
      </c>
      <c r="P192" s="6" t="n">
        <v>23</v>
      </c>
      <c r="Q192" s="6" t="inlineStr">
        <is>
          <t>No</t>
        </is>
      </c>
      <c r="R192" s="6">
        <f>IF(K192="Yes",1,0)</f>
        <v/>
      </c>
      <c r="S192" s="6">
        <f>IF(K192="No",1,0)</f>
        <v/>
      </c>
      <c r="T192" s="6">
        <f>ROUND((IF(L192="",'Subscriptions'!$T$2,L192)-J192)/30.44,1)</f>
        <v/>
      </c>
      <c r="U192" s="6">
        <f>IF(AND(P192&lt;'Subscriptions'!$T$4,O192&lt;='Subscriptions'!$T$5),1,0)</f>
        <v/>
      </c>
    </row>
    <row r="193">
      <c r="A193" s="6" t="inlineStr">
        <is>
          <t>CUST-0192</t>
        </is>
      </c>
      <c r="B193" s="6" t="inlineStr">
        <is>
          <t>Business</t>
        </is>
      </c>
      <c r="C193" s="6" t="inlineStr">
        <is>
          <t>Monthly</t>
        </is>
      </c>
      <c r="D193" s="6" t="inlineStr">
        <is>
          <t>Real Estate</t>
        </is>
      </c>
      <c r="E193" s="6" t="inlineStr">
        <is>
          <t>51-200</t>
        </is>
      </c>
      <c r="F193" s="6" t="n">
        <v>74</v>
      </c>
      <c r="G193" s="6" t="n">
        <v>2378.05</v>
      </c>
      <c r="H193" s="6" t="inlineStr">
        <is>
          <t>Social Media</t>
        </is>
      </c>
      <c r="I193" s="6" t="inlineStr">
        <is>
          <t>North America</t>
        </is>
      </c>
      <c r="J193" s="7" t="n">
        <v>44636</v>
      </c>
      <c r="K193" s="6" t="inlineStr">
        <is>
          <t>No</t>
        </is>
      </c>
      <c r="L193" s="7" t="n"/>
      <c r="M193" s="6" t="n"/>
      <c r="N193" s="6" t="n">
        <v>8</v>
      </c>
      <c r="O193" s="6" t="n">
        <v>10</v>
      </c>
      <c r="P193" s="6" t="n">
        <v>46</v>
      </c>
      <c r="Q193" s="6" t="inlineStr">
        <is>
          <t>Yes</t>
        </is>
      </c>
      <c r="R193" s="6">
        <f>IF(K193="Yes",1,0)</f>
        <v/>
      </c>
      <c r="S193" s="6">
        <f>IF(K193="No",1,0)</f>
        <v/>
      </c>
      <c r="T193" s="6">
        <f>ROUND((IF(L193="",'Subscriptions'!$T$2,L193)-J193)/30.44,1)</f>
        <v/>
      </c>
      <c r="U193" s="6">
        <f>IF(AND(P193&lt;'Subscriptions'!$T$4,O193&lt;='Subscriptions'!$T$5),1,0)</f>
        <v/>
      </c>
    </row>
    <row r="194">
      <c r="A194" s="6" t="inlineStr">
        <is>
          <t>CUST-0193</t>
        </is>
      </c>
      <c r="B194" s="6" t="inlineStr">
        <is>
          <t>Enterprise</t>
        </is>
      </c>
      <c r="C194" s="6" t="inlineStr">
        <is>
          <t>Monthly</t>
        </is>
      </c>
      <c r="D194" s="6" t="inlineStr">
        <is>
          <t>Retail</t>
        </is>
      </c>
      <c r="E194" s="6" t="inlineStr">
        <is>
          <t>11-50</t>
        </is>
      </c>
      <c r="F194" s="6" t="n">
        <v>33</v>
      </c>
      <c r="G194" s="6" t="n">
        <v>2894.2</v>
      </c>
      <c r="H194" s="6" t="inlineStr">
        <is>
          <t>Social Media</t>
        </is>
      </c>
      <c r="I194" s="6" t="inlineStr">
        <is>
          <t>North America</t>
        </is>
      </c>
      <c r="J194" s="7" t="n">
        <v>45553</v>
      </c>
      <c r="K194" s="6" t="inlineStr">
        <is>
          <t>No</t>
        </is>
      </c>
      <c r="L194" s="7" t="n"/>
      <c r="M194" s="6" t="n"/>
      <c r="N194" s="6" t="n">
        <v>0</v>
      </c>
      <c r="O194" s="6" t="n">
        <v>1</v>
      </c>
      <c r="P194" s="6" t="n">
        <v>43</v>
      </c>
      <c r="Q194" s="6" t="inlineStr">
        <is>
          <t>Yes</t>
        </is>
      </c>
      <c r="R194" s="6">
        <f>IF(K194="Yes",1,0)</f>
        <v/>
      </c>
      <c r="S194" s="6">
        <f>IF(K194="No",1,0)</f>
        <v/>
      </c>
      <c r="T194" s="6">
        <f>ROUND((IF(L194="",'Subscriptions'!$T$2,L194)-J194)/30.44,1)</f>
        <v/>
      </c>
      <c r="U194" s="6">
        <f>IF(AND(P194&lt;'Subscriptions'!$T$4,O194&lt;='Subscriptions'!$T$5),1,0)</f>
        <v/>
      </c>
    </row>
    <row r="195">
      <c r="A195" s="6" t="inlineStr">
        <is>
          <t>CUST-0194</t>
        </is>
      </c>
      <c r="B195" s="6" t="inlineStr">
        <is>
          <t>Starter</t>
        </is>
      </c>
      <c r="C195" s="6" t="inlineStr">
        <is>
          <t>Annual</t>
        </is>
      </c>
      <c r="D195" s="6" t="inlineStr">
        <is>
          <t>Finance</t>
        </is>
      </c>
      <c r="E195" s="6" t="inlineStr">
        <is>
          <t>500+</t>
        </is>
      </c>
      <c r="F195" s="6" t="n">
        <v>225</v>
      </c>
      <c r="G195" s="6" t="n">
        <v>852.89</v>
      </c>
      <c r="H195" s="6" t="inlineStr">
        <is>
          <t>Referral</t>
        </is>
      </c>
      <c r="I195" s="6" t="inlineStr">
        <is>
          <t>Europe</t>
        </is>
      </c>
      <c r="J195" s="7" t="n">
        <v>44984</v>
      </c>
      <c r="K195" s="6" t="inlineStr">
        <is>
          <t>No</t>
        </is>
      </c>
      <c r="L195" s="7" t="n"/>
      <c r="M195" s="6" t="n"/>
      <c r="N195" s="6" t="n">
        <v>6</v>
      </c>
      <c r="O195" s="6" t="n">
        <v>9</v>
      </c>
      <c r="P195" s="6" t="n">
        <v>50</v>
      </c>
      <c r="Q195" s="6" t="inlineStr">
        <is>
          <t>Yes</t>
        </is>
      </c>
      <c r="R195" s="6">
        <f>IF(K195="Yes",1,0)</f>
        <v/>
      </c>
      <c r="S195" s="6">
        <f>IF(K195="No",1,0)</f>
        <v/>
      </c>
      <c r="T195" s="6">
        <f>ROUND((IF(L195="",'Subscriptions'!$T$2,L195)-J195)/30.44,1)</f>
        <v/>
      </c>
      <c r="U195" s="6">
        <f>IF(AND(P195&lt;'Subscriptions'!$T$4,O195&lt;='Subscriptions'!$T$5),1,0)</f>
        <v/>
      </c>
    </row>
    <row r="196">
      <c r="A196" s="6" t="inlineStr">
        <is>
          <t>CUST-0195</t>
        </is>
      </c>
      <c r="B196" s="6" t="inlineStr">
        <is>
          <t>Starter</t>
        </is>
      </c>
      <c r="C196" s="6" t="inlineStr">
        <is>
          <t>Annual</t>
        </is>
      </c>
      <c r="D196" s="6" t="inlineStr">
        <is>
          <t>Education</t>
        </is>
      </c>
      <c r="E196" s="6" t="inlineStr">
        <is>
          <t>1-10</t>
        </is>
      </c>
      <c r="F196" s="6" t="n">
        <v>3</v>
      </c>
      <c r="G196" s="6" t="n">
        <v>32.05</v>
      </c>
      <c r="H196" s="6" t="inlineStr">
        <is>
          <t>Paid Ads</t>
        </is>
      </c>
      <c r="I196" s="6" t="inlineStr">
        <is>
          <t>North America</t>
        </is>
      </c>
      <c r="J196" s="7" t="n">
        <v>45220</v>
      </c>
      <c r="K196" s="6" t="inlineStr">
        <is>
          <t>Yes</t>
        </is>
      </c>
      <c r="L196" s="7" t="n">
        <v>45492</v>
      </c>
      <c r="M196" s="6" t="inlineStr">
        <is>
          <t>Budget Cuts</t>
        </is>
      </c>
      <c r="N196" s="6" t="n">
        <v>4</v>
      </c>
      <c r="O196" s="6" t="n">
        <v>5</v>
      </c>
      <c r="P196" s="6" t="n">
        <v>33</v>
      </c>
      <c r="Q196" s="6" t="inlineStr">
        <is>
          <t>No</t>
        </is>
      </c>
      <c r="R196" s="6">
        <f>IF(K196="Yes",1,0)</f>
        <v/>
      </c>
      <c r="S196" s="6">
        <f>IF(K196="No",1,0)</f>
        <v/>
      </c>
      <c r="T196" s="6">
        <f>ROUND((IF(L196="",'Subscriptions'!$T$2,L196)-J196)/30.44,1)</f>
        <v/>
      </c>
      <c r="U196" s="6">
        <f>IF(AND(P196&lt;'Subscriptions'!$T$4,O196&lt;='Subscriptions'!$T$5),1,0)</f>
        <v/>
      </c>
    </row>
    <row r="197">
      <c r="A197" s="6" t="inlineStr">
        <is>
          <t>CUST-0196</t>
        </is>
      </c>
      <c r="B197" s="6" t="inlineStr">
        <is>
          <t>Professional</t>
        </is>
      </c>
      <c r="C197" s="6" t="inlineStr">
        <is>
          <t>Annual</t>
        </is>
      </c>
      <c r="D197" s="6" t="inlineStr">
        <is>
          <t>Media</t>
        </is>
      </c>
      <c r="E197" s="6" t="inlineStr">
        <is>
          <t>11-50</t>
        </is>
      </c>
      <c r="F197" s="6" t="n">
        <v>20</v>
      </c>
      <c r="G197" s="6" t="n">
        <v>258.53</v>
      </c>
      <c r="H197" s="6" t="inlineStr">
        <is>
          <t>Paid Ads</t>
        </is>
      </c>
      <c r="I197" s="6" t="inlineStr">
        <is>
          <t>Europe</t>
        </is>
      </c>
      <c r="J197" s="7" t="n">
        <v>45722</v>
      </c>
      <c r="K197" s="6" t="inlineStr">
        <is>
          <t>No</t>
        </is>
      </c>
      <c r="L197" s="7" t="n"/>
      <c r="M197" s="6" t="n"/>
      <c r="N197" s="6" t="n">
        <v>6</v>
      </c>
      <c r="O197" s="6" t="n">
        <v>7</v>
      </c>
      <c r="P197" s="6" t="n">
        <v>95</v>
      </c>
      <c r="Q197" s="6" t="inlineStr">
        <is>
          <t>No</t>
        </is>
      </c>
      <c r="R197" s="6">
        <f>IF(K197="Yes",1,0)</f>
        <v/>
      </c>
      <c r="S197" s="6">
        <f>IF(K197="No",1,0)</f>
        <v/>
      </c>
      <c r="T197" s="6">
        <f>ROUND((IF(L197="",'Subscriptions'!$T$2,L197)-J197)/30.44,1)</f>
        <v/>
      </c>
      <c r="U197" s="6">
        <f>IF(AND(P197&lt;'Subscriptions'!$T$4,O197&lt;='Subscriptions'!$T$5),1,0)</f>
        <v/>
      </c>
    </row>
    <row r="198">
      <c r="A198" s="6" t="inlineStr">
        <is>
          <t>CUST-0197</t>
        </is>
      </c>
      <c r="B198" s="6" t="inlineStr">
        <is>
          <t>Enterprise</t>
        </is>
      </c>
      <c r="C198" s="6" t="inlineStr">
        <is>
          <t>Monthly</t>
        </is>
      </c>
      <c r="D198" s="6" t="inlineStr">
        <is>
          <t>Consulting</t>
        </is>
      </c>
      <c r="E198" s="6" t="inlineStr">
        <is>
          <t>1-10</t>
        </is>
      </c>
      <c r="F198" s="6" t="n">
        <v>1</v>
      </c>
      <c r="G198" s="6" t="n">
        <v>499</v>
      </c>
      <c r="H198" s="6" t="inlineStr">
        <is>
          <t>Organic Search</t>
        </is>
      </c>
      <c r="I198" s="6" t="inlineStr">
        <is>
          <t>Asia Pacific</t>
        </is>
      </c>
      <c r="J198" s="7" t="n">
        <v>44645</v>
      </c>
      <c r="K198" s="6" t="inlineStr">
        <is>
          <t>No</t>
        </is>
      </c>
      <c r="L198" s="7" t="n"/>
      <c r="M198" s="6" t="n"/>
      <c r="N198" s="6" t="n">
        <v>8</v>
      </c>
      <c r="O198" s="6" t="n">
        <v>7</v>
      </c>
      <c r="P198" s="6" t="n">
        <v>32</v>
      </c>
      <c r="Q198" s="6" t="inlineStr">
        <is>
          <t>No</t>
        </is>
      </c>
      <c r="R198" s="6">
        <f>IF(K198="Yes",1,0)</f>
        <v/>
      </c>
      <c r="S198" s="6">
        <f>IF(K198="No",1,0)</f>
        <v/>
      </c>
      <c r="T198" s="6">
        <f>ROUND((IF(L198="",'Subscriptions'!$T$2,L198)-J198)/30.44,1)</f>
        <v/>
      </c>
      <c r="U198" s="6">
        <f>IF(AND(P198&lt;'Subscriptions'!$T$4,O198&lt;='Subscriptions'!$T$5),1,0)</f>
        <v/>
      </c>
    </row>
    <row r="199">
      <c r="A199" s="6" t="inlineStr">
        <is>
          <t>CUST-0198</t>
        </is>
      </c>
      <c r="B199" s="6" t="inlineStr">
        <is>
          <t>Starter</t>
        </is>
      </c>
      <c r="C199" s="6" t="inlineStr">
        <is>
          <t>Monthly</t>
        </is>
      </c>
      <c r="D199" s="6" t="inlineStr">
        <is>
          <t>Healthcare</t>
        </is>
      </c>
      <c r="E199" s="6" t="inlineStr">
        <is>
          <t>51-200</t>
        </is>
      </c>
      <c r="F199" s="6" t="n">
        <v>21</v>
      </c>
      <c r="G199" s="6" t="n">
        <v>116</v>
      </c>
      <c r="H199" s="6" t="inlineStr">
        <is>
          <t>Referral</t>
        </is>
      </c>
      <c r="I199" s="6" t="inlineStr">
        <is>
          <t>Europe</t>
        </is>
      </c>
      <c r="J199" s="7" t="n">
        <v>45035</v>
      </c>
      <c r="K199" s="6" t="inlineStr">
        <is>
          <t>Yes</t>
        </is>
      </c>
      <c r="L199" s="7" t="n">
        <v>45672</v>
      </c>
      <c r="M199" s="6" t="inlineStr">
        <is>
          <t>Missing Features</t>
        </is>
      </c>
      <c r="N199" s="6" t="n">
        <v>0</v>
      </c>
      <c r="O199" s="6" t="n">
        <v>1</v>
      </c>
      <c r="P199" s="6" t="n">
        <v>15</v>
      </c>
      <c r="Q199" s="6" t="inlineStr">
        <is>
          <t>No</t>
        </is>
      </c>
      <c r="R199" s="6">
        <f>IF(K199="Yes",1,0)</f>
        <v/>
      </c>
      <c r="S199" s="6">
        <f>IF(K199="No",1,0)</f>
        <v/>
      </c>
      <c r="T199" s="6">
        <f>ROUND((IF(L199="",'Subscriptions'!$T$2,L199)-J199)/30.44,1)</f>
        <v/>
      </c>
      <c r="U199" s="6">
        <f>IF(AND(P199&lt;'Subscriptions'!$T$4,O199&lt;='Subscriptions'!$T$5),1,0)</f>
        <v/>
      </c>
    </row>
    <row r="200">
      <c r="A200" s="6" t="inlineStr">
        <is>
          <t>CUST-0199</t>
        </is>
      </c>
      <c r="B200" s="6" t="inlineStr">
        <is>
          <t>Professional</t>
        </is>
      </c>
      <c r="C200" s="6" t="inlineStr">
        <is>
          <t>Annual</t>
        </is>
      </c>
      <c r="D200" s="6" t="inlineStr">
        <is>
          <t>Legal</t>
        </is>
      </c>
      <c r="E200" s="6" t="inlineStr">
        <is>
          <t>1-10</t>
        </is>
      </c>
      <c r="F200" s="6" t="n">
        <v>4</v>
      </c>
      <c r="G200" s="6" t="n">
        <v>97.37</v>
      </c>
      <c r="H200" s="6" t="inlineStr">
        <is>
          <t>Paid Ads</t>
        </is>
      </c>
      <c r="I200" s="6" t="inlineStr">
        <is>
          <t>North America</t>
        </is>
      </c>
      <c r="J200" s="7" t="n">
        <v>45719</v>
      </c>
      <c r="K200" s="6" t="inlineStr">
        <is>
          <t>No</t>
        </is>
      </c>
      <c r="L200" s="7" t="n"/>
      <c r="M200" s="6" t="n"/>
      <c r="N200" s="6" t="n">
        <v>2</v>
      </c>
      <c r="O200" s="6" t="n">
        <v>4</v>
      </c>
      <c r="P200" s="6" t="n">
        <v>36</v>
      </c>
      <c r="Q200" s="6" t="inlineStr">
        <is>
          <t>No</t>
        </is>
      </c>
      <c r="R200" s="6">
        <f>IF(K200="Yes",1,0)</f>
        <v/>
      </c>
      <c r="S200" s="6">
        <f>IF(K200="No",1,0)</f>
        <v/>
      </c>
      <c r="T200" s="6">
        <f>ROUND((IF(L200="",'Subscriptions'!$T$2,L200)-J200)/30.44,1)</f>
        <v/>
      </c>
      <c r="U200" s="6">
        <f>IF(AND(P200&lt;'Subscriptions'!$T$4,O200&lt;='Subscriptions'!$T$5),1,0)</f>
        <v/>
      </c>
    </row>
    <row r="201">
      <c r="A201" s="6" t="inlineStr">
        <is>
          <t>CUST-0200</t>
        </is>
      </c>
      <c r="B201" s="6" t="inlineStr">
        <is>
          <t>Professional</t>
        </is>
      </c>
      <c r="C201" s="6" t="inlineStr">
        <is>
          <t>Annual</t>
        </is>
      </c>
      <c r="D201" s="6" t="inlineStr">
        <is>
          <t>Education</t>
        </is>
      </c>
      <c r="E201" s="6" t="inlineStr">
        <is>
          <t>201-500</t>
        </is>
      </c>
      <c r="F201" s="6" t="n">
        <v>35</v>
      </c>
      <c r="G201" s="6" t="n">
        <v>409.62</v>
      </c>
      <c r="H201" s="6" t="inlineStr">
        <is>
          <t>Organic Search</t>
        </is>
      </c>
      <c r="I201" s="6" t="inlineStr">
        <is>
          <t>North America</t>
        </is>
      </c>
      <c r="J201" s="7" t="n">
        <v>44858</v>
      </c>
      <c r="K201" s="6" t="inlineStr">
        <is>
          <t>Yes</t>
        </is>
      </c>
      <c r="L201" s="7" t="n">
        <v>45598</v>
      </c>
      <c r="M201" s="6" t="inlineStr">
        <is>
          <t>Missing Features</t>
        </is>
      </c>
      <c r="N201" s="6" t="n">
        <v>15</v>
      </c>
      <c r="O201" s="6" t="n">
        <v>1</v>
      </c>
      <c r="P201" s="6" t="n">
        <v>21</v>
      </c>
      <c r="Q201" s="6" t="inlineStr">
        <is>
          <t>No</t>
        </is>
      </c>
      <c r="R201" s="6">
        <f>IF(K201="Yes",1,0)</f>
        <v/>
      </c>
      <c r="S201" s="6">
        <f>IF(K201="No",1,0)</f>
        <v/>
      </c>
      <c r="T201" s="6">
        <f>ROUND((IF(L201="",'Subscriptions'!$T$2,L201)-J201)/30.44,1)</f>
        <v/>
      </c>
      <c r="U201" s="6">
        <f>IF(AND(P201&lt;'Subscriptions'!$T$4,O201&lt;='Subscriptions'!$T$5),1,0)</f>
        <v/>
      </c>
    </row>
    <row r="202">
      <c r="A202" s="6" t="inlineStr">
        <is>
          <t>CUST-0201</t>
        </is>
      </c>
      <c r="B202" s="6" t="inlineStr">
        <is>
          <t>Starter</t>
        </is>
      </c>
      <c r="C202" s="6" t="inlineStr">
        <is>
          <t>Monthly</t>
        </is>
      </c>
      <c r="D202" s="6" t="inlineStr">
        <is>
          <t>Media</t>
        </is>
      </c>
      <c r="E202" s="6" t="inlineStr">
        <is>
          <t>11-50</t>
        </is>
      </c>
      <c r="F202" s="6" t="n">
        <v>13</v>
      </c>
      <c r="G202" s="6" t="n">
        <v>81.2</v>
      </c>
      <c r="H202" s="6" t="inlineStr">
        <is>
          <t>Partner</t>
        </is>
      </c>
      <c r="I202" s="6" t="inlineStr">
        <is>
          <t>Europe</t>
        </is>
      </c>
      <c r="J202" s="7" t="n">
        <v>45105</v>
      </c>
      <c r="K202" s="6" t="inlineStr">
        <is>
          <t>Yes</t>
        </is>
      </c>
      <c r="L202" s="7" t="n">
        <v>45578</v>
      </c>
      <c r="M202" s="6" t="inlineStr">
        <is>
          <t>Budget Cuts</t>
        </is>
      </c>
      <c r="N202" s="6" t="n">
        <v>15</v>
      </c>
      <c r="O202" s="6" t="n">
        <v>1</v>
      </c>
      <c r="P202" s="6" t="n">
        <v>44</v>
      </c>
      <c r="Q202" s="6" t="inlineStr">
        <is>
          <t>No</t>
        </is>
      </c>
      <c r="R202" s="6">
        <f>IF(K202="Yes",1,0)</f>
        <v/>
      </c>
      <c r="S202" s="6">
        <f>IF(K202="No",1,0)</f>
        <v/>
      </c>
      <c r="T202" s="6">
        <f>ROUND((IF(L202="",'Subscriptions'!$T$2,L202)-J202)/30.44,1)</f>
        <v/>
      </c>
      <c r="U202" s="6">
        <f>IF(AND(P202&lt;'Subscriptions'!$T$4,O202&lt;='Subscriptions'!$T$5),1,0)</f>
        <v/>
      </c>
    </row>
    <row r="203">
      <c r="A203" s="6" t="inlineStr">
        <is>
          <t>CUST-0202</t>
        </is>
      </c>
      <c r="B203" s="6" t="inlineStr">
        <is>
          <t>Starter</t>
        </is>
      </c>
      <c r="C203" s="6" t="inlineStr">
        <is>
          <t>Monthly</t>
        </is>
      </c>
      <c r="D203" s="6" t="inlineStr">
        <is>
          <t>Legal</t>
        </is>
      </c>
      <c r="E203" s="6" t="inlineStr">
        <is>
          <t>11-50</t>
        </is>
      </c>
      <c r="F203" s="6" t="n">
        <v>30</v>
      </c>
      <c r="G203" s="6" t="n">
        <v>155.15</v>
      </c>
      <c r="H203" s="6" t="inlineStr">
        <is>
          <t>Partner</t>
        </is>
      </c>
      <c r="I203" s="6" t="inlineStr">
        <is>
          <t>Latin America</t>
        </is>
      </c>
      <c r="J203" s="7" t="n">
        <v>45205</v>
      </c>
      <c r="K203" s="6" t="inlineStr">
        <is>
          <t>Yes</t>
        </is>
      </c>
      <c r="L203" s="7" t="n">
        <v>45234</v>
      </c>
      <c r="M203" s="6" t="inlineStr">
        <is>
          <t>Price Too High</t>
        </is>
      </c>
      <c r="N203" s="6" t="n">
        <v>3</v>
      </c>
      <c r="O203" s="6" t="n">
        <v>1</v>
      </c>
      <c r="P203" s="6" t="n">
        <v>25</v>
      </c>
      <c r="Q203" s="6" t="inlineStr">
        <is>
          <t>No</t>
        </is>
      </c>
      <c r="R203" s="6">
        <f>IF(K203="Yes",1,0)</f>
        <v/>
      </c>
      <c r="S203" s="6">
        <f>IF(K203="No",1,0)</f>
        <v/>
      </c>
      <c r="T203" s="6">
        <f>ROUND((IF(L203="",'Subscriptions'!$T$2,L203)-J203)/30.44,1)</f>
        <v/>
      </c>
      <c r="U203" s="6">
        <f>IF(AND(P203&lt;'Subscriptions'!$T$4,O203&lt;='Subscriptions'!$T$5),1,0)</f>
        <v/>
      </c>
    </row>
    <row r="204">
      <c r="A204" s="6" t="inlineStr">
        <is>
          <t>CUST-0203</t>
        </is>
      </c>
      <c r="B204" s="6" t="inlineStr">
        <is>
          <t>Business</t>
        </is>
      </c>
      <c r="C204" s="6" t="inlineStr">
        <is>
          <t>Monthly</t>
        </is>
      </c>
      <c r="D204" s="6" t="inlineStr">
        <is>
          <t>Consulting</t>
        </is>
      </c>
      <c r="E204" s="6" t="inlineStr">
        <is>
          <t>1-10</t>
        </is>
      </c>
      <c r="F204" s="6" t="n">
        <v>8</v>
      </c>
      <c r="G204" s="6" t="n">
        <v>407.95</v>
      </c>
      <c r="H204" s="6" t="inlineStr">
        <is>
          <t>Direct Sales</t>
        </is>
      </c>
      <c r="I204" s="6" t="inlineStr">
        <is>
          <t>Latin America</t>
        </is>
      </c>
      <c r="J204" s="7" t="n">
        <v>45137</v>
      </c>
      <c r="K204" s="6" t="inlineStr">
        <is>
          <t>Yes</t>
        </is>
      </c>
      <c r="L204" s="7" t="n">
        <v>45753</v>
      </c>
      <c r="M204" s="6" t="inlineStr">
        <is>
          <t>Budget Cuts</t>
        </is>
      </c>
      <c r="N204" s="6" t="n">
        <v>1</v>
      </c>
      <c r="O204" s="6" t="n">
        <v>5</v>
      </c>
      <c r="P204" s="6" t="n">
        <v>12</v>
      </c>
      <c r="Q204" s="6" t="inlineStr">
        <is>
          <t>No</t>
        </is>
      </c>
      <c r="R204" s="6">
        <f>IF(K204="Yes",1,0)</f>
        <v/>
      </c>
      <c r="S204" s="6">
        <f>IF(K204="No",1,0)</f>
        <v/>
      </c>
      <c r="T204" s="6">
        <f>ROUND((IF(L204="",'Subscriptions'!$T$2,L204)-J204)/30.44,1)</f>
        <v/>
      </c>
      <c r="U204" s="6">
        <f>IF(AND(P204&lt;'Subscriptions'!$T$4,O204&lt;='Subscriptions'!$T$5),1,0)</f>
        <v/>
      </c>
    </row>
    <row r="205">
      <c r="A205" s="6" t="inlineStr">
        <is>
          <t>CUST-0204</t>
        </is>
      </c>
      <c r="B205" s="6" t="inlineStr">
        <is>
          <t>Starter</t>
        </is>
      </c>
      <c r="C205" s="6" t="inlineStr">
        <is>
          <t>Monthly</t>
        </is>
      </c>
      <c r="D205" s="6" t="inlineStr">
        <is>
          <t>Education</t>
        </is>
      </c>
      <c r="E205" s="6" t="inlineStr">
        <is>
          <t>51-200</t>
        </is>
      </c>
      <c r="F205" s="6" t="n">
        <v>64</v>
      </c>
      <c r="G205" s="6" t="n">
        <v>303.05</v>
      </c>
      <c r="H205" s="6" t="inlineStr">
        <is>
          <t>Partner</t>
        </is>
      </c>
      <c r="I205" s="6" t="inlineStr">
        <is>
          <t>North America</t>
        </is>
      </c>
      <c r="J205" s="7" t="n">
        <v>45431</v>
      </c>
      <c r="K205" s="6" t="inlineStr">
        <is>
          <t>Yes</t>
        </is>
      </c>
      <c r="L205" s="7" t="n">
        <v>45493</v>
      </c>
      <c r="M205" s="6" t="inlineStr">
        <is>
          <t>Poor Support</t>
        </is>
      </c>
      <c r="N205" s="6" t="n">
        <v>11</v>
      </c>
      <c r="O205" s="6" t="n">
        <v>1</v>
      </c>
      <c r="P205" s="6" t="n">
        <v>49</v>
      </c>
      <c r="Q205" s="6" t="inlineStr">
        <is>
          <t>No</t>
        </is>
      </c>
      <c r="R205" s="6">
        <f>IF(K205="Yes",1,0)</f>
        <v/>
      </c>
      <c r="S205" s="6">
        <f>IF(K205="No",1,0)</f>
        <v/>
      </c>
      <c r="T205" s="6">
        <f>ROUND((IF(L205="",'Subscriptions'!$T$2,L205)-J205)/30.44,1)</f>
        <v/>
      </c>
      <c r="U205" s="6">
        <f>IF(AND(P205&lt;'Subscriptions'!$T$4,O205&lt;='Subscriptions'!$T$5),1,0)</f>
        <v/>
      </c>
    </row>
    <row r="206">
      <c r="A206" s="6" t="inlineStr">
        <is>
          <t>CUST-0205</t>
        </is>
      </c>
      <c r="B206" s="6" t="inlineStr">
        <is>
          <t>Business</t>
        </is>
      </c>
      <c r="C206" s="6" t="inlineStr">
        <is>
          <t>Annual</t>
        </is>
      </c>
      <c r="D206" s="6" t="inlineStr">
        <is>
          <t>Healthcare</t>
        </is>
      </c>
      <c r="E206" s="6" t="inlineStr">
        <is>
          <t>51-200</t>
        </is>
      </c>
      <c r="F206" s="6" t="n">
        <v>67</v>
      </c>
      <c r="G206" s="6" t="n">
        <v>1843.73</v>
      </c>
      <c r="H206" s="6" t="inlineStr">
        <is>
          <t>Organic Search</t>
        </is>
      </c>
      <c r="I206" s="6" t="inlineStr">
        <is>
          <t>Europe</t>
        </is>
      </c>
      <c r="J206" s="7" t="n">
        <v>45277</v>
      </c>
      <c r="K206" s="6" t="inlineStr">
        <is>
          <t>No</t>
        </is>
      </c>
      <c r="L206" s="7" t="n"/>
      <c r="M206" s="6" t="n"/>
      <c r="N206" s="6" t="n">
        <v>12</v>
      </c>
      <c r="O206" s="6" t="n">
        <v>1</v>
      </c>
      <c r="P206" s="6" t="n">
        <v>85</v>
      </c>
      <c r="Q206" s="6" t="inlineStr">
        <is>
          <t>Yes</t>
        </is>
      </c>
      <c r="R206" s="6">
        <f>IF(K206="Yes",1,0)</f>
        <v/>
      </c>
      <c r="S206" s="6">
        <f>IF(K206="No",1,0)</f>
        <v/>
      </c>
      <c r="T206" s="6">
        <f>ROUND((IF(L206="",'Subscriptions'!$T$2,L206)-J206)/30.44,1)</f>
        <v/>
      </c>
      <c r="U206" s="6">
        <f>IF(AND(P206&lt;'Subscriptions'!$T$4,O206&lt;='Subscriptions'!$T$5),1,0)</f>
        <v/>
      </c>
    </row>
    <row r="207">
      <c r="A207" s="6" t="inlineStr">
        <is>
          <t>CUST-0206</t>
        </is>
      </c>
      <c r="B207" s="6" t="inlineStr">
        <is>
          <t>Starter</t>
        </is>
      </c>
      <c r="C207" s="6" t="inlineStr">
        <is>
          <t>Monthly</t>
        </is>
      </c>
      <c r="D207" s="6" t="inlineStr">
        <is>
          <t>Healthcare</t>
        </is>
      </c>
      <c r="E207" s="6" t="inlineStr">
        <is>
          <t>201-500</t>
        </is>
      </c>
      <c r="F207" s="6" t="n">
        <v>72</v>
      </c>
      <c r="G207" s="6" t="n">
        <v>337.85</v>
      </c>
      <c r="H207" s="6" t="inlineStr">
        <is>
          <t>Organic Search</t>
        </is>
      </c>
      <c r="I207" s="6" t="inlineStr">
        <is>
          <t>Europe</t>
        </is>
      </c>
      <c r="J207" s="7" t="n">
        <v>45374</v>
      </c>
      <c r="K207" s="6" t="inlineStr">
        <is>
          <t>Yes</t>
        </is>
      </c>
      <c r="L207" s="7" t="n">
        <v>45475</v>
      </c>
      <c r="M207" s="6" t="inlineStr">
        <is>
          <t>Switched Competitor</t>
        </is>
      </c>
      <c r="N207" s="6" t="n">
        <v>5</v>
      </c>
      <c r="O207" s="6" t="n">
        <v>6</v>
      </c>
      <c r="P207" s="6" t="n">
        <v>33</v>
      </c>
      <c r="Q207" s="6" t="inlineStr">
        <is>
          <t>No</t>
        </is>
      </c>
      <c r="R207" s="6">
        <f>IF(K207="Yes",1,0)</f>
        <v/>
      </c>
      <c r="S207" s="6">
        <f>IF(K207="No",1,0)</f>
        <v/>
      </c>
      <c r="T207" s="6">
        <f>ROUND((IF(L207="",'Subscriptions'!$T$2,L207)-J207)/30.44,1)</f>
        <v/>
      </c>
      <c r="U207" s="6">
        <f>IF(AND(P207&lt;'Subscriptions'!$T$4,O207&lt;='Subscriptions'!$T$5),1,0)</f>
        <v/>
      </c>
    </row>
    <row r="208">
      <c r="A208" s="6" t="inlineStr">
        <is>
          <t>CUST-0207</t>
        </is>
      </c>
      <c r="B208" s="6" t="inlineStr">
        <is>
          <t>Business</t>
        </is>
      </c>
      <c r="C208" s="6" t="inlineStr">
        <is>
          <t>Monthly</t>
        </is>
      </c>
      <c r="D208" s="6" t="inlineStr">
        <is>
          <t>Real Estate</t>
        </is>
      </c>
      <c r="E208" s="6" t="inlineStr">
        <is>
          <t>1-10</t>
        </is>
      </c>
      <c r="F208" s="6" t="n">
        <v>1</v>
      </c>
      <c r="G208" s="6" t="n">
        <v>199</v>
      </c>
      <c r="H208" s="6" t="inlineStr">
        <is>
          <t>Partner</t>
        </is>
      </c>
      <c r="I208" s="6" t="inlineStr">
        <is>
          <t>North America</t>
        </is>
      </c>
      <c r="J208" s="7" t="n">
        <v>45018</v>
      </c>
      <c r="K208" s="6" t="inlineStr">
        <is>
          <t>Yes</t>
        </is>
      </c>
      <c r="L208" s="7" t="n">
        <v>45275</v>
      </c>
      <c r="M208" s="6" t="inlineStr">
        <is>
          <t>No Longer Needed</t>
        </is>
      </c>
      <c r="N208" s="6" t="n">
        <v>12</v>
      </c>
      <c r="O208" s="6" t="n">
        <v>2</v>
      </c>
      <c r="P208" s="6" t="n">
        <v>16</v>
      </c>
      <c r="Q208" s="6" t="inlineStr">
        <is>
          <t>No</t>
        </is>
      </c>
      <c r="R208" s="6">
        <f>IF(K208="Yes",1,0)</f>
        <v/>
      </c>
      <c r="S208" s="6">
        <f>IF(K208="No",1,0)</f>
        <v/>
      </c>
      <c r="T208" s="6">
        <f>ROUND((IF(L208="",'Subscriptions'!$T$2,L208)-J208)/30.44,1)</f>
        <v/>
      </c>
      <c r="U208" s="6">
        <f>IF(AND(P208&lt;'Subscriptions'!$T$4,O208&lt;='Subscriptions'!$T$5),1,0)</f>
        <v/>
      </c>
    </row>
    <row r="209">
      <c r="A209" s="6" t="inlineStr">
        <is>
          <t>CUST-0208</t>
        </is>
      </c>
      <c r="B209" s="6" t="inlineStr">
        <is>
          <t>Starter</t>
        </is>
      </c>
      <c r="C209" s="6" t="inlineStr">
        <is>
          <t>Monthly</t>
        </is>
      </c>
      <c r="D209" s="6" t="inlineStr">
        <is>
          <t>Consulting</t>
        </is>
      </c>
      <c r="E209" s="6" t="inlineStr">
        <is>
          <t>11-50</t>
        </is>
      </c>
      <c r="F209" s="6" t="n">
        <v>5</v>
      </c>
      <c r="G209" s="6" t="n">
        <v>46.4</v>
      </c>
      <c r="H209" s="6" t="inlineStr">
        <is>
          <t>Referral</t>
        </is>
      </c>
      <c r="I209" s="6" t="inlineStr">
        <is>
          <t>North America</t>
        </is>
      </c>
      <c r="J209" s="7" t="n">
        <v>45676</v>
      </c>
      <c r="K209" s="6" t="inlineStr">
        <is>
          <t>Yes</t>
        </is>
      </c>
      <c r="L209" s="7" t="n">
        <v>45841</v>
      </c>
      <c r="M209" s="6" t="inlineStr">
        <is>
          <t>Missing Features</t>
        </is>
      </c>
      <c r="N209" s="6" t="n">
        <v>8</v>
      </c>
      <c r="O209" s="6" t="n">
        <v>4</v>
      </c>
      <c r="P209" s="6" t="n">
        <v>21</v>
      </c>
      <c r="Q209" s="6" t="inlineStr">
        <is>
          <t>No</t>
        </is>
      </c>
      <c r="R209" s="6">
        <f>IF(K209="Yes",1,0)</f>
        <v/>
      </c>
      <c r="S209" s="6">
        <f>IF(K209="No",1,0)</f>
        <v/>
      </c>
      <c r="T209" s="6">
        <f>ROUND((IF(L209="",'Subscriptions'!$T$2,L209)-J209)/30.44,1)</f>
        <v/>
      </c>
      <c r="U209" s="6">
        <f>IF(AND(P209&lt;'Subscriptions'!$T$4,O209&lt;='Subscriptions'!$T$5),1,0)</f>
        <v/>
      </c>
    </row>
    <row r="210">
      <c r="A210" s="6" t="inlineStr">
        <is>
          <t>CUST-0209</t>
        </is>
      </c>
      <c r="B210" s="6" t="inlineStr">
        <is>
          <t>Starter</t>
        </is>
      </c>
      <c r="C210" s="6" t="inlineStr">
        <is>
          <t>Annual</t>
        </is>
      </c>
      <c r="D210" s="6" t="inlineStr">
        <is>
          <t>Healthcare</t>
        </is>
      </c>
      <c r="E210" s="6" t="inlineStr">
        <is>
          <t>51-200</t>
        </is>
      </c>
      <c r="F210" s="6" t="n">
        <v>46</v>
      </c>
      <c r="G210" s="6" t="n">
        <v>191.04</v>
      </c>
      <c r="H210" s="6" t="inlineStr">
        <is>
          <t>Social Media</t>
        </is>
      </c>
      <c r="I210" s="6" t="inlineStr">
        <is>
          <t>Europe</t>
        </is>
      </c>
      <c r="J210" s="7" t="n">
        <v>44686</v>
      </c>
      <c r="K210" s="6" t="inlineStr">
        <is>
          <t>Yes</t>
        </is>
      </c>
      <c r="L210" s="7" t="n">
        <v>44772</v>
      </c>
      <c r="M210" s="6" t="inlineStr">
        <is>
          <t>Company Closed</t>
        </is>
      </c>
      <c r="N210" s="6" t="n">
        <v>2</v>
      </c>
      <c r="O210" s="6" t="n">
        <v>1</v>
      </c>
      <c r="P210" s="6" t="n">
        <v>13</v>
      </c>
      <c r="Q210" s="6" t="inlineStr">
        <is>
          <t>No</t>
        </is>
      </c>
      <c r="R210" s="6">
        <f>IF(K210="Yes",1,0)</f>
        <v/>
      </c>
      <c r="S210" s="6">
        <f>IF(K210="No",1,0)</f>
        <v/>
      </c>
      <c r="T210" s="6">
        <f>ROUND((IF(L210="",'Subscriptions'!$T$2,L210)-J210)/30.44,1)</f>
        <v/>
      </c>
      <c r="U210" s="6">
        <f>IF(AND(P210&lt;'Subscriptions'!$T$4,O210&lt;='Subscriptions'!$T$5),1,0)</f>
        <v/>
      </c>
    </row>
    <row r="211">
      <c r="A211" s="6" t="inlineStr">
        <is>
          <t>CUST-0210</t>
        </is>
      </c>
      <c r="B211" s="6" t="inlineStr">
        <is>
          <t>Enterprise</t>
        </is>
      </c>
      <c r="C211" s="6" t="inlineStr">
        <is>
          <t>Monthly</t>
        </is>
      </c>
      <c r="D211" s="6" t="inlineStr">
        <is>
          <t>Healthcare</t>
        </is>
      </c>
      <c r="E211" s="6" t="inlineStr">
        <is>
          <t>51-200</t>
        </is>
      </c>
      <c r="F211" s="6" t="n">
        <v>72</v>
      </c>
      <c r="G211" s="6" t="n">
        <v>5813.35</v>
      </c>
      <c r="H211" s="6" t="inlineStr">
        <is>
          <t>Social Media</t>
        </is>
      </c>
      <c r="I211" s="6" t="inlineStr">
        <is>
          <t>North America</t>
        </is>
      </c>
      <c r="J211" s="7" t="n">
        <v>44826</v>
      </c>
      <c r="K211" s="6" t="inlineStr">
        <is>
          <t>Yes</t>
        </is>
      </c>
      <c r="L211" s="7" t="n">
        <v>45803</v>
      </c>
      <c r="M211" s="6" t="inlineStr">
        <is>
          <t>Price Too High</t>
        </is>
      </c>
      <c r="N211" s="6" t="n">
        <v>13</v>
      </c>
      <c r="O211" s="6" t="n">
        <v>1</v>
      </c>
      <c r="P211" s="6" t="n">
        <v>17</v>
      </c>
      <c r="Q211" s="6" t="inlineStr">
        <is>
          <t>No</t>
        </is>
      </c>
      <c r="R211" s="6">
        <f>IF(K211="Yes",1,0)</f>
        <v/>
      </c>
      <c r="S211" s="6">
        <f>IF(K211="No",1,0)</f>
        <v/>
      </c>
      <c r="T211" s="6">
        <f>ROUND((IF(L211="",'Subscriptions'!$T$2,L211)-J211)/30.44,1)</f>
        <v/>
      </c>
      <c r="U211" s="6">
        <f>IF(AND(P211&lt;'Subscriptions'!$T$4,O211&lt;='Subscriptions'!$T$5),1,0)</f>
        <v/>
      </c>
    </row>
    <row r="212">
      <c r="A212" s="6" t="inlineStr">
        <is>
          <t>CUST-0211</t>
        </is>
      </c>
      <c r="B212" s="6" t="inlineStr">
        <is>
          <t>Enterprise</t>
        </is>
      </c>
      <c r="C212" s="6" t="inlineStr">
        <is>
          <t>Annual</t>
        </is>
      </c>
      <c r="D212" s="6" t="inlineStr">
        <is>
          <t>Education</t>
        </is>
      </c>
      <c r="E212" s="6" t="inlineStr">
        <is>
          <t>201-500</t>
        </is>
      </c>
      <c r="F212" s="6" t="n">
        <v>48</v>
      </c>
      <c r="G212" s="6" t="n">
        <v>3414.41</v>
      </c>
      <c r="H212" s="6" t="inlineStr">
        <is>
          <t>Paid Ads</t>
        </is>
      </c>
      <c r="I212" s="6" t="inlineStr">
        <is>
          <t>North America</t>
        </is>
      </c>
      <c r="J212" s="7" t="n">
        <v>45838</v>
      </c>
      <c r="K212" s="6" t="inlineStr">
        <is>
          <t>No</t>
        </is>
      </c>
      <c r="L212" s="7" t="n"/>
      <c r="M212" s="6" t="n"/>
      <c r="N212" s="6" t="n">
        <v>12</v>
      </c>
      <c r="O212" s="6" t="n">
        <v>2</v>
      </c>
      <c r="P212" s="6" t="n">
        <v>23</v>
      </c>
      <c r="Q212" s="6" t="inlineStr">
        <is>
          <t>No</t>
        </is>
      </c>
      <c r="R212" s="6">
        <f>IF(K212="Yes",1,0)</f>
        <v/>
      </c>
      <c r="S212" s="6">
        <f>IF(K212="No",1,0)</f>
        <v/>
      </c>
      <c r="T212" s="6">
        <f>ROUND((IF(L212="",'Subscriptions'!$T$2,L212)-J212)/30.44,1)</f>
        <v/>
      </c>
      <c r="U212" s="6">
        <f>IF(AND(P212&lt;'Subscriptions'!$T$4,O212&lt;='Subscriptions'!$T$5),1,0)</f>
        <v/>
      </c>
    </row>
    <row r="213">
      <c r="A213" s="6" t="inlineStr">
        <is>
          <t>CUST-0212</t>
        </is>
      </c>
      <c r="B213" s="6" t="inlineStr">
        <is>
          <t>Business</t>
        </is>
      </c>
      <c r="C213" s="6" t="inlineStr">
        <is>
          <t>Annual</t>
        </is>
      </c>
      <c r="D213" s="6" t="inlineStr">
        <is>
          <t>Retail</t>
        </is>
      </c>
      <c r="E213" s="6" t="inlineStr">
        <is>
          <t>1-10</t>
        </is>
      </c>
      <c r="F213" s="6" t="n">
        <v>1</v>
      </c>
      <c r="G213" s="6" t="n">
        <v>169.15</v>
      </c>
      <c r="H213" s="6" t="inlineStr">
        <is>
          <t>Partner</t>
        </is>
      </c>
      <c r="I213" s="6" t="inlineStr">
        <is>
          <t>North America</t>
        </is>
      </c>
      <c r="J213" s="7" t="n">
        <v>45299</v>
      </c>
      <c r="K213" s="6" t="inlineStr">
        <is>
          <t>No</t>
        </is>
      </c>
      <c r="L213" s="7" t="n"/>
      <c r="M213" s="6" t="n"/>
      <c r="N213" s="6" t="n">
        <v>1</v>
      </c>
      <c r="O213" s="6" t="n">
        <v>6</v>
      </c>
      <c r="P213" s="6" t="n">
        <v>60</v>
      </c>
      <c r="Q213" s="6" t="inlineStr">
        <is>
          <t>No</t>
        </is>
      </c>
      <c r="R213" s="6">
        <f>IF(K213="Yes",1,0)</f>
        <v/>
      </c>
      <c r="S213" s="6">
        <f>IF(K213="No",1,0)</f>
        <v/>
      </c>
      <c r="T213" s="6">
        <f>ROUND((IF(L213="",'Subscriptions'!$T$2,L213)-J213)/30.44,1)</f>
        <v/>
      </c>
      <c r="U213" s="6">
        <f>IF(AND(P213&lt;'Subscriptions'!$T$4,O213&lt;='Subscriptions'!$T$5),1,0)</f>
        <v/>
      </c>
    </row>
    <row r="214">
      <c r="A214" s="6" t="inlineStr">
        <is>
          <t>CUST-0213</t>
        </is>
      </c>
      <c r="B214" s="6" t="inlineStr">
        <is>
          <t>Business</t>
        </is>
      </c>
      <c r="C214" s="6" t="inlineStr">
        <is>
          <t>Annual</t>
        </is>
      </c>
      <c r="D214" s="6" t="inlineStr">
        <is>
          <t>Manufacturing</t>
        </is>
      </c>
      <c r="E214" s="6" t="inlineStr">
        <is>
          <t>500+</t>
        </is>
      </c>
      <c r="F214" s="6" t="n">
        <v>209</v>
      </c>
      <c r="G214" s="6" t="n">
        <v>5446.63</v>
      </c>
      <c r="H214" s="6" t="inlineStr">
        <is>
          <t>Partner</t>
        </is>
      </c>
      <c r="I214" s="6" t="inlineStr">
        <is>
          <t>North America</t>
        </is>
      </c>
      <c r="J214" s="7" t="n">
        <v>45066</v>
      </c>
      <c r="K214" s="6" t="inlineStr">
        <is>
          <t>No</t>
        </is>
      </c>
      <c r="L214" s="7" t="n"/>
      <c r="M214" s="6" t="n"/>
      <c r="N214" s="6" t="n">
        <v>4</v>
      </c>
      <c r="O214" s="6" t="n">
        <v>2</v>
      </c>
      <c r="P214" s="6" t="n">
        <v>31</v>
      </c>
      <c r="Q214" s="6" t="inlineStr">
        <is>
          <t>No</t>
        </is>
      </c>
      <c r="R214" s="6">
        <f>IF(K214="Yes",1,0)</f>
        <v/>
      </c>
      <c r="S214" s="6">
        <f>IF(K214="No",1,0)</f>
        <v/>
      </c>
      <c r="T214" s="6">
        <f>ROUND((IF(L214="",'Subscriptions'!$T$2,L214)-J214)/30.44,1)</f>
        <v/>
      </c>
      <c r="U214" s="6">
        <f>IF(AND(P214&lt;'Subscriptions'!$T$4,O214&lt;='Subscriptions'!$T$5),1,0)</f>
        <v/>
      </c>
    </row>
    <row r="215">
      <c r="A215" s="6" t="inlineStr">
        <is>
          <t>CUST-0214</t>
        </is>
      </c>
      <c r="B215" s="6" t="inlineStr">
        <is>
          <t>Starter</t>
        </is>
      </c>
      <c r="C215" s="6" t="inlineStr">
        <is>
          <t>Monthly</t>
        </is>
      </c>
      <c r="D215" s="6" t="inlineStr">
        <is>
          <t>Legal</t>
        </is>
      </c>
      <c r="E215" s="6" t="inlineStr">
        <is>
          <t>11-50</t>
        </is>
      </c>
      <c r="F215" s="6" t="n">
        <v>17</v>
      </c>
      <c r="G215" s="6" t="n">
        <v>98.59999999999999</v>
      </c>
      <c r="H215" s="6" t="inlineStr">
        <is>
          <t>Referral</t>
        </is>
      </c>
      <c r="I215" s="6" t="inlineStr">
        <is>
          <t>North America</t>
        </is>
      </c>
      <c r="J215" s="7" t="n">
        <v>45558</v>
      </c>
      <c r="K215" s="6" t="inlineStr">
        <is>
          <t>Yes</t>
        </is>
      </c>
      <c r="L215" s="7" t="n">
        <v>45880</v>
      </c>
      <c r="M215" s="6" t="inlineStr">
        <is>
          <t>No Longer Needed</t>
        </is>
      </c>
      <c r="N215" s="6" t="n">
        <v>4</v>
      </c>
      <c r="O215" s="6" t="n">
        <v>4</v>
      </c>
      <c r="P215" s="6" t="n">
        <v>10</v>
      </c>
      <c r="Q215" s="6" t="inlineStr">
        <is>
          <t>No</t>
        </is>
      </c>
      <c r="R215" s="6">
        <f>IF(K215="Yes",1,0)</f>
        <v/>
      </c>
      <c r="S215" s="6">
        <f>IF(K215="No",1,0)</f>
        <v/>
      </c>
      <c r="T215" s="6">
        <f>ROUND((IF(L215="",'Subscriptions'!$T$2,L215)-J215)/30.44,1)</f>
        <v/>
      </c>
      <c r="U215" s="6">
        <f>IF(AND(P215&lt;'Subscriptions'!$T$4,O215&lt;='Subscriptions'!$T$5),1,0)</f>
        <v/>
      </c>
    </row>
    <row r="216">
      <c r="A216" s="6" t="inlineStr">
        <is>
          <t>CUST-0215</t>
        </is>
      </c>
      <c r="B216" s="6" t="inlineStr">
        <is>
          <t>Starter</t>
        </is>
      </c>
      <c r="C216" s="6" t="inlineStr">
        <is>
          <t>Monthly</t>
        </is>
      </c>
      <c r="D216" s="6" t="inlineStr">
        <is>
          <t>Consulting</t>
        </is>
      </c>
      <c r="E216" s="6" t="inlineStr">
        <is>
          <t>11-50</t>
        </is>
      </c>
      <c r="F216" s="6" t="n">
        <v>21</v>
      </c>
      <c r="G216" s="6" t="n">
        <v>116</v>
      </c>
      <c r="H216" s="6" t="inlineStr">
        <is>
          <t>Direct Sales</t>
        </is>
      </c>
      <c r="I216" s="6" t="inlineStr">
        <is>
          <t>Asia Pacific</t>
        </is>
      </c>
      <c r="J216" s="7" t="n">
        <v>45666</v>
      </c>
      <c r="K216" s="6" t="inlineStr">
        <is>
          <t>Yes</t>
        </is>
      </c>
      <c r="L216" s="7" t="n">
        <v>45837</v>
      </c>
      <c r="M216" s="6" t="inlineStr">
        <is>
          <t>Switched Competitor</t>
        </is>
      </c>
      <c r="N216" s="6" t="n">
        <v>15</v>
      </c>
      <c r="O216" s="6" t="n">
        <v>5</v>
      </c>
      <c r="P216" s="6" t="n">
        <v>27</v>
      </c>
      <c r="Q216" s="6" t="inlineStr">
        <is>
          <t>No</t>
        </is>
      </c>
      <c r="R216" s="6">
        <f>IF(K216="Yes",1,0)</f>
        <v/>
      </c>
      <c r="S216" s="6">
        <f>IF(K216="No",1,0)</f>
        <v/>
      </c>
      <c r="T216" s="6">
        <f>ROUND((IF(L216="",'Subscriptions'!$T$2,L216)-J216)/30.44,1)</f>
        <v/>
      </c>
      <c r="U216" s="6">
        <f>IF(AND(P216&lt;'Subscriptions'!$T$4,O216&lt;='Subscriptions'!$T$5),1,0)</f>
        <v/>
      </c>
    </row>
    <row r="217">
      <c r="A217" s="6" t="inlineStr">
        <is>
          <t>CUST-0216</t>
        </is>
      </c>
      <c r="B217" s="6" t="inlineStr">
        <is>
          <t>Starter</t>
        </is>
      </c>
      <c r="C217" s="6" t="inlineStr">
        <is>
          <t>Monthly</t>
        </is>
      </c>
      <c r="D217" s="6" t="inlineStr">
        <is>
          <t>Finance</t>
        </is>
      </c>
      <c r="E217" s="6" t="inlineStr">
        <is>
          <t>11-50</t>
        </is>
      </c>
      <c r="F217" s="6" t="n">
        <v>15</v>
      </c>
      <c r="G217" s="6" t="n">
        <v>89.90000000000001</v>
      </c>
      <c r="H217" s="6" t="inlineStr">
        <is>
          <t>Organic Search</t>
        </is>
      </c>
      <c r="I217" s="6" t="inlineStr">
        <is>
          <t>North America</t>
        </is>
      </c>
      <c r="J217" s="7" t="n">
        <v>45493</v>
      </c>
      <c r="K217" s="6" t="inlineStr">
        <is>
          <t>Yes</t>
        </is>
      </c>
      <c r="L217" s="7" t="n">
        <v>45551</v>
      </c>
      <c r="M217" s="6" t="inlineStr">
        <is>
          <t>Poor Support</t>
        </is>
      </c>
      <c r="N217" s="6" t="n">
        <v>11</v>
      </c>
      <c r="O217" s="6" t="n">
        <v>4</v>
      </c>
      <c r="P217" s="6" t="n">
        <v>20</v>
      </c>
      <c r="Q217" s="6" t="inlineStr">
        <is>
          <t>No</t>
        </is>
      </c>
      <c r="R217" s="6">
        <f>IF(K217="Yes",1,0)</f>
        <v/>
      </c>
      <c r="S217" s="6">
        <f>IF(K217="No",1,0)</f>
        <v/>
      </c>
      <c r="T217" s="6">
        <f>ROUND((IF(L217="",'Subscriptions'!$T$2,L217)-J217)/30.44,1)</f>
        <v/>
      </c>
      <c r="U217" s="6">
        <f>IF(AND(P217&lt;'Subscriptions'!$T$4,O217&lt;='Subscriptions'!$T$5),1,0)</f>
        <v/>
      </c>
    </row>
    <row r="218">
      <c r="A218" s="6" t="inlineStr">
        <is>
          <t>CUST-0217</t>
        </is>
      </c>
      <c r="B218" s="6" t="inlineStr">
        <is>
          <t>Professional</t>
        </is>
      </c>
      <c r="C218" s="6" t="inlineStr">
        <is>
          <t>Monthly</t>
        </is>
      </c>
      <c r="D218" s="6" t="inlineStr">
        <is>
          <t>Healthcare</t>
        </is>
      </c>
      <c r="E218" s="6" t="inlineStr">
        <is>
          <t>51-200</t>
        </is>
      </c>
      <c r="F218" s="6" t="n">
        <v>46</v>
      </c>
      <c r="G218" s="6" t="n">
        <v>612.25</v>
      </c>
      <c r="H218" s="6" t="inlineStr">
        <is>
          <t>Partner</t>
        </is>
      </c>
      <c r="I218" s="6" t="inlineStr">
        <is>
          <t>North America</t>
        </is>
      </c>
      <c r="J218" s="7" t="n">
        <v>45387</v>
      </c>
      <c r="K218" s="6" t="inlineStr">
        <is>
          <t>No</t>
        </is>
      </c>
      <c r="L218" s="7" t="n"/>
      <c r="M218" s="6" t="n"/>
      <c r="N218" s="6" t="n">
        <v>3</v>
      </c>
      <c r="O218" s="6" t="n">
        <v>7</v>
      </c>
      <c r="P218" s="6" t="n">
        <v>39</v>
      </c>
      <c r="Q218" s="6" t="inlineStr">
        <is>
          <t>No</t>
        </is>
      </c>
      <c r="R218" s="6">
        <f>IF(K218="Yes",1,0)</f>
        <v/>
      </c>
      <c r="S218" s="6">
        <f>IF(K218="No",1,0)</f>
        <v/>
      </c>
      <c r="T218" s="6">
        <f>ROUND((IF(L218="",'Subscriptions'!$T$2,L218)-J218)/30.44,1)</f>
        <v/>
      </c>
      <c r="U218" s="6">
        <f>IF(AND(P218&lt;'Subscriptions'!$T$4,O218&lt;='Subscriptions'!$T$5),1,0)</f>
        <v/>
      </c>
    </row>
    <row r="219">
      <c r="A219" s="6" t="inlineStr">
        <is>
          <t>CUST-0218</t>
        </is>
      </c>
      <c r="B219" s="6" t="inlineStr">
        <is>
          <t>Starter</t>
        </is>
      </c>
      <c r="C219" s="6" t="inlineStr">
        <is>
          <t>Monthly</t>
        </is>
      </c>
      <c r="D219" s="6" t="inlineStr">
        <is>
          <t>Finance</t>
        </is>
      </c>
      <c r="E219" s="6" t="inlineStr">
        <is>
          <t>51-200</t>
        </is>
      </c>
      <c r="F219" s="6" t="n">
        <v>22</v>
      </c>
      <c r="G219" s="6" t="n">
        <v>120.35</v>
      </c>
      <c r="H219" s="6" t="inlineStr">
        <is>
          <t>Direct Sales</t>
        </is>
      </c>
      <c r="I219" s="6" t="inlineStr">
        <is>
          <t>North America</t>
        </is>
      </c>
      <c r="J219" s="7" t="n">
        <v>44849</v>
      </c>
      <c r="K219" s="6" t="inlineStr">
        <is>
          <t>Yes</t>
        </is>
      </c>
      <c r="L219" s="7" t="n">
        <v>45316</v>
      </c>
      <c r="M219" s="6" t="inlineStr">
        <is>
          <t>Company Closed</t>
        </is>
      </c>
      <c r="N219" s="6" t="n">
        <v>3</v>
      </c>
      <c r="O219" s="6" t="n">
        <v>3</v>
      </c>
      <c r="P219" s="6" t="n">
        <v>27</v>
      </c>
      <c r="Q219" s="6" t="inlineStr">
        <is>
          <t>No</t>
        </is>
      </c>
      <c r="R219" s="6">
        <f>IF(K219="Yes",1,0)</f>
        <v/>
      </c>
      <c r="S219" s="6">
        <f>IF(K219="No",1,0)</f>
        <v/>
      </c>
      <c r="T219" s="6">
        <f>ROUND((IF(L219="",'Subscriptions'!$T$2,L219)-J219)/30.44,1)</f>
        <v/>
      </c>
      <c r="U219" s="6">
        <f>IF(AND(P219&lt;'Subscriptions'!$T$4,O219&lt;='Subscriptions'!$T$5),1,0)</f>
        <v/>
      </c>
    </row>
    <row r="220">
      <c r="A220" s="6" t="inlineStr">
        <is>
          <t>CUST-0219</t>
        </is>
      </c>
      <c r="B220" s="6" t="inlineStr">
        <is>
          <t>Starter</t>
        </is>
      </c>
      <c r="C220" s="6" t="inlineStr">
        <is>
          <t>Annual</t>
        </is>
      </c>
      <c r="D220" s="6" t="inlineStr">
        <is>
          <t>Manufacturing</t>
        </is>
      </c>
      <c r="E220" s="6" t="inlineStr">
        <is>
          <t>1-10</t>
        </is>
      </c>
      <c r="F220" s="6" t="n">
        <v>8</v>
      </c>
      <c r="G220" s="6" t="n">
        <v>50.53</v>
      </c>
      <c r="H220" s="6" t="inlineStr">
        <is>
          <t>Organic Search</t>
        </is>
      </c>
      <c r="I220" s="6" t="inlineStr">
        <is>
          <t>North America</t>
        </is>
      </c>
      <c r="J220" s="7" t="n">
        <v>45160</v>
      </c>
      <c r="K220" s="6" t="inlineStr">
        <is>
          <t>No</t>
        </is>
      </c>
      <c r="L220" s="7" t="n"/>
      <c r="M220" s="6" t="n"/>
      <c r="N220" s="6" t="n">
        <v>6</v>
      </c>
      <c r="O220" s="6" t="n">
        <v>8</v>
      </c>
      <c r="P220" s="6" t="n">
        <v>32</v>
      </c>
      <c r="Q220" s="6" t="inlineStr">
        <is>
          <t>No</t>
        </is>
      </c>
      <c r="R220" s="6">
        <f>IF(K220="Yes",1,0)</f>
        <v/>
      </c>
      <c r="S220" s="6">
        <f>IF(K220="No",1,0)</f>
        <v/>
      </c>
      <c r="T220" s="6">
        <f>ROUND((IF(L220="",'Subscriptions'!$T$2,L220)-J220)/30.44,1)</f>
        <v/>
      </c>
      <c r="U220" s="6">
        <f>IF(AND(P220&lt;'Subscriptions'!$T$4,O220&lt;='Subscriptions'!$T$5),1,0)</f>
        <v/>
      </c>
    </row>
    <row r="221">
      <c r="A221" s="6" t="inlineStr">
        <is>
          <t>CUST-0220</t>
        </is>
      </c>
      <c r="B221" s="6" t="inlineStr">
        <is>
          <t>Professional</t>
        </is>
      </c>
      <c r="C221" s="6" t="inlineStr">
        <is>
          <t>Monthly</t>
        </is>
      </c>
      <c r="D221" s="6" t="inlineStr">
        <is>
          <t>Education</t>
        </is>
      </c>
      <c r="E221" s="6" t="inlineStr">
        <is>
          <t>1-10</t>
        </is>
      </c>
      <c r="F221" s="6" t="n">
        <v>1</v>
      </c>
      <c r="G221" s="6" t="n">
        <v>79</v>
      </c>
      <c r="H221" s="6" t="inlineStr">
        <is>
          <t>Social Media</t>
        </is>
      </c>
      <c r="I221" s="6" t="inlineStr">
        <is>
          <t>North America</t>
        </is>
      </c>
      <c r="J221" s="7" t="n">
        <v>45195</v>
      </c>
      <c r="K221" s="6" t="inlineStr">
        <is>
          <t>Yes</t>
        </is>
      </c>
      <c r="L221" s="7" t="n">
        <v>45788</v>
      </c>
      <c r="M221" s="6" t="inlineStr">
        <is>
          <t>Price Too High</t>
        </is>
      </c>
      <c r="N221" s="6" t="n">
        <v>9</v>
      </c>
      <c r="O221" s="6" t="n">
        <v>5</v>
      </c>
      <c r="P221" s="6" t="n">
        <v>44</v>
      </c>
      <c r="Q221" s="6" t="inlineStr">
        <is>
          <t>No</t>
        </is>
      </c>
      <c r="R221" s="6">
        <f>IF(K221="Yes",1,0)</f>
        <v/>
      </c>
      <c r="S221" s="6">
        <f>IF(K221="No",1,0)</f>
        <v/>
      </c>
      <c r="T221" s="6">
        <f>ROUND((IF(L221="",'Subscriptions'!$T$2,L221)-J221)/30.44,1)</f>
        <v/>
      </c>
      <c r="U221" s="6">
        <f>IF(AND(P221&lt;'Subscriptions'!$T$4,O221&lt;='Subscriptions'!$T$5),1,0)</f>
        <v/>
      </c>
    </row>
    <row r="222">
      <c r="A222" s="6" t="inlineStr">
        <is>
          <t>CUST-0221</t>
        </is>
      </c>
      <c r="B222" s="6" t="inlineStr">
        <is>
          <t>Business</t>
        </is>
      </c>
      <c r="C222" s="6" t="inlineStr">
        <is>
          <t>Annual</t>
        </is>
      </c>
      <c r="D222" s="6" t="inlineStr">
        <is>
          <t>Real Estate</t>
        </is>
      </c>
      <c r="E222" s="6" t="inlineStr">
        <is>
          <t>1-10</t>
        </is>
      </c>
      <c r="F222" s="6" t="n">
        <v>3</v>
      </c>
      <c r="G222" s="6" t="n">
        <v>219.9</v>
      </c>
      <c r="H222" s="6" t="inlineStr">
        <is>
          <t>Organic Search</t>
        </is>
      </c>
      <c r="I222" s="6" t="inlineStr">
        <is>
          <t>North America</t>
        </is>
      </c>
      <c r="J222" s="7" t="n">
        <v>45836</v>
      </c>
      <c r="K222" s="6" t="inlineStr">
        <is>
          <t>No</t>
        </is>
      </c>
      <c r="L222" s="7" t="n"/>
      <c r="M222" s="6" t="n"/>
      <c r="N222" s="6" t="n">
        <v>7</v>
      </c>
      <c r="O222" s="6" t="n">
        <v>8</v>
      </c>
      <c r="P222" s="6" t="n">
        <v>43</v>
      </c>
      <c r="Q222" s="6" t="inlineStr">
        <is>
          <t>No</t>
        </is>
      </c>
      <c r="R222" s="6">
        <f>IF(K222="Yes",1,0)</f>
        <v/>
      </c>
      <c r="S222" s="6">
        <f>IF(K222="No",1,0)</f>
        <v/>
      </c>
      <c r="T222" s="6">
        <f>ROUND((IF(L222="",'Subscriptions'!$T$2,L222)-J222)/30.44,1)</f>
        <v/>
      </c>
      <c r="U222" s="6">
        <f>IF(AND(P222&lt;'Subscriptions'!$T$4,O222&lt;='Subscriptions'!$T$5),1,0)</f>
        <v/>
      </c>
    </row>
    <row r="223">
      <c r="A223" s="6" t="inlineStr">
        <is>
          <t>CUST-0222</t>
        </is>
      </c>
      <c r="B223" s="6" t="inlineStr">
        <is>
          <t>Professional</t>
        </is>
      </c>
      <c r="C223" s="6" t="inlineStr">
        <is>
          <t>Monthly</t>
        </is>
      </c>
      <c r="D223" s="6" t="inlineStr">
        <is>
          <t>Media</t>
        </is>
      </c>
      <c r="E223" s="6" t="inlineStr">
        <is>
          <t>51-200</t>
        </is>
      </c>
      <c r="F223" s="6" t="n">
        <v>47</v>
      </c>
      <c r="G223" s="6" t="n">
        <v>624.1</v>
      </c>
      <c r="H223" s="6" t="inlineStr">
        <is>
          <t>Referral</t>
        </is>
      </c>
      <c r="I223" s="6" t="inlineStr">
        <is>
          <t>Europe</t>
        </is>
      </c>
      <c r="J223" s="7" t="n">
        <v>45568</v>
      </c>
      <c r="K223" s="6" t="inlineStr">
        <is>
          <t>No</t>
        </is>
      </c>
      <c r="L223" s="7" t="n"/>
      <c r="M223" s="6" t="n"/>
      <c r="N223" s="6" t="n">
        <v>6</v>
      </c>
      <c r="O223" s="6" t="n">
        <v>8</v>
      </c>
      <c r="P223" s="6" t="n">
        <v>63</v>
      </c>
      <c r="Q223" s="6" t="inlineStr">
        <is>
          <t>Yes</t>
        </is>
      </c>
      <c r="R223" s="6">
        <f>IF(K223="Yes",1,0)</f>
        <v/>
      </c>
      <c r="S223" s="6">
        <f>IF(K223="No",1,0)</f>
        <v/>
      </c>
      <c r="T223" s="6">
        <f>ROUND((IF(L223="",'Subscriptions'!$T$2,L223)-J223)/30.44,1)</f>
        <v/>
      </c>
      <c r="U223" s="6">
        <f>IF(AND(P223&lt;'Subscriptions'!$T$4,O223&lt;='Subscriptions'!$T$5),1,0)</f>
        <v/>
      </c>
    </row>
    <row r="224">
      <c r="A224" s="6" t="inlineStr">
        <is>
          <t>CUST-0223</t>
        </is>
      </c>
      <c r="B224" s="6" t="inlineStr">
        <is>
          <t>Starter</t>
        </is>
      </c>
      <c r="C224" s="6" t="inlineStr">
        <is>
          <t>Monthly</t>
        </is>
      </c>
      <c r="D224" s="6" t="inlineStr">
        <is>
          <t>Manufacturing</t>
        </is>
      </c>
      <c r="E224" s="6" t="inlineStr">
        <is>
          <t>201-500</t>
        </is>
      </c>
      <c r="F224" s="6" t="n">
        <v>68</v>
      </c>
      <c r="G224" s="6" t="n">
        <v>320.45</v>
      </c>
      <c r="H224" s="6" t="inlineStr">
        <is>
          <t>Paid Ads</t>
        </is>
      </c>
      <c r="I224" s="6" t="inlineStr">
        <is>
          <t>North America</t>
        </is>
      </c>
      <c r="J224" s="7" t="n">
        <v>45748</v>
      </c>
      <c r="K224" s="6" t="inlineStr">
        <is>
          <t>Yes</t>
        </is>
      </c>
      <c r="L224" s="7" t="n">
        <v>45949</v>
      </c>
      <c r="M224" s="6" t="inlineStr">
        <is>
          <t>Switched Competitor</t>
        </is>
      </c>
      <c r="N224" s="6" t="n">
        <v>9</v>
      </c>
      <c r="O224" s="6" t="n">
        <v>4</v>
      </c>
      <c r="P224" s="6" t="n">
        <v>42</v>
      </c>
      <c r="Q224" s="6" t="inlineStr">
        <is>
          <t>No</t>
        </is>
      </c>
      <c r="R224" s="6">
        <f>IF(K224="Yes",1,0)</f>
        <v/>
      </c>
      <c r="S224" s="6">
        <f>IF(K224="No",1,0)</f>
        <v/>
      </c>
      <c r="T224" s="6">
        <f>ROUND((IF(L224="",'Subscriptions'!$T$2,L224)-J224)/30.44,1)</f>
        <v/>
      </c>
      <c r="U224" s="6">
        <f>IF(AND(P224&lt;'Subscriptions'!$T$4,O224&lt;='Subscriptions'!$T$5),1,0)</f>
        <v/>
      </c>
    </row>
    <row r="225">
      <c r="A225" s="6" t="inlineStr">
        <is>
          <t>CUST-0224</t>
        </is>
      </c>
      <c r="B225" s="6" t="inlineStr">
        <is>
          <t>Enterprise</t>
        </is>
      </c>
      <c r="C225" s="6" t="inlineStr">
        <is>
          <t>Annual</t>
        </is>
      </c>
      <c r="D225" s="6" t="inlineStr">
        <is>
          <t>Healthcare</t>
        </is>
      </c>
      <c r="E225" s="6" t="inlineStr">
        <is>
          <t>51-200</t>
        </is>
      </c>
      <c r="F225" s="6" t="n">
        <v>72</v>
      </c>
      <c r="G225" s="6" t="n">
        <v>4941.35</v>
      </c>
      <c r="H225" s="6" t="inlineStr">
        <is>
          <t>Social Media</t>
        </is>
      </c>
      <c r="I225" s="6" t="inlineStr">
        <is>
          <t>Latin America</t>
        </is>
      </c>
      <c r="J225" s="7" t="n">
        <v>45689</v>
      </c>
      <c r="K225" s="6" t="inlineStr">
        <is>
          <t>Yes</t>
        </is>
      </c>
      <c r="L225" s="7" t="n">
        <v>45701</v>
      </c>
      <c r="M225" s="6" t="inlineStr">
        <is>
          <t>Missing Features</t>
        </is>
      </c>
      <c r="N225" s="6" t="n">
        <v>0</v>
      </c>
      <c r="O225" s="6" t="n">
        <v>1</v>
      </c>
      <c r="P225" s="6" t="n">
        <v>11</v>
      </c>
      <c r="Q225" s="6" t="inlineStr">
        <is>
          <t>No</t>
        </is>
      </c>
      <c r="R225" s="6">
        <f>IF(K225="Yes",1,0)</f>
        <v/>
      </c>
      <c r="S225" s="6">
        <f>IF(K225="No",1,0)</f>
        <v/>
      </c>
      <c r="T225" s="6">
        <f>ROUND((IF(L225="",'Subscriptions'!$T$2,L225)-J225)/30.44,1)</f>
        <v/>
      </c>
      <c r="U225" s="6">
        <f>IF(AND(P225&lt;'Subscriptions'!$T$4,O225&lt;='Subscriptions'!$T$5),1,0)</f>
        <v/>
      </c>
    </row>
    <row r="226">
      <c r="A226" s="6" t="inlineStr">
        <is>
          <t>CUST-0225</t>
        </is>
      </c>
      <c r="B226" s="6" t="inlineStr">
        <is>
          <t>Professional</t>
        </is>
      </c>
      <c r="C226" s="6" t="inlineStr">
        <is>
          <t>Annual</t>
        </is>
      </c>
      <c r="D226" s="6" t="inlineStr">
        <is>
          <t>Consulting</t>
        </is>
      </c>
      <c r="E226" s="6" t="inlineStr">
        <is>
          <t>11-50</t>
        </is>
      </c>
      <c r="F226" s="6" t="n">
        <v>27</v>
      </c>
      <c r="G226" s="6" t="n">
        <v>329.03</v>
      </c>
      <c r="H226" s="6" t="inlineStr">
        <is>
          <t>Organic Search</t>
        </is>
      </c>
      <c r="I226" s="6" t="inlineStr">
        <is>
          <t>North America</t>
        </is>
      </c>
      <c r="J226" s="7" t="n">
        <v>45978</v>
      </c>
      <c r="K226" s="6" t="inlineStr">
        <is>
          <t>No</t>
        </is>
      </c>
      <c r="L226" s="7" t="n"/>
      <c r="M226" s="6" t="n"/>
      <c r="N226" s="6" t="n">
        <v>7</v>
      </c>
      <c r="O226" s="6" t="n">
        <v>4</v>
      </c>
      <c r="P226" s="6" t="n">
        <v>39</v>
      </c>
      <c r="Q226" s="6" t="inlineStr">
        <is>
          <t>No</t>
        </is>
      </c>
      <c r="R226" s="6">
        <f>IF(K226="Yes",1,0)</f>
        <v/>
      </c>
      <c r="S226" s="6">
        <f>IF(K226="No",1,0)</f>
        <v/>
      </c>
      <c r="T226" s="6">
        <f>ROUND((IF(L226="",'Subscriptions'!$T$2,L226)-J226)/30.44,1)</f>
        <v/>
      </c>
      <c r="U226" s="6">
        <f>IF(AND(P226&lt;'Subscriptions'!$T$4,O226&lt;='Subscriptions'!$T$5),1,0)</f>
        <v/>
      </c>
    </row>
    <row r="227">
      <c r="A227" s="6" t="inlineStr">
        <is>
          <t>CUST-0226</t>
        </is>
      </c>
      <c r="B227" s="6" t="inlineStr">
        <is>
          <t>Professional</t>
        </is>
      </c>
      <c r="C227" s="6" t="inlineStr">
        <is>
          <t>Monthly</t>
        </is>
      </c>
      <c r="D227" s="6" t="inlineStr">
        <is>
          <t>Retail</t>
        </is>
      </c>
      <c r="E227" s="6" t="inlineStr">
        <is>
          <t>51-200</t>
        </is>
      </c>
      <c r="F227" s="6" t="n">
        <v>64</v>
      </c>
      <c r="G227" s="6" t="n">
        <v>825.55</v>
      </c>
      <c r="H227" s="6" t="inlineStr">
        <is>
          <t>Organic Search</t>
        </is>
      </c>
      <c r="I227" s="6" t="inlineStr">
        <is>
          <t>Europe</t>
        </is>
      </c>
      <c r="J227" s="7" t="n">
        <v>45765</v>
      </c>
      <c r="K227" s="6" t="inlineStr">
        <is>
          <t>No</t>
        </is>
      </c>
      <c r="L227" s="7" t="n"/>
      <c r="M227" s="6" t="n"/>
      <c r="N227" s="6" t="n">
        <v>10</v>
      </c>
      <c r="O227" s="6" t="n">
        <v>4</v>
      </c>
      <c r="P227" s="6" t="n">
        <v>87</v>
      </c>
      <c r="Q227" s="6" t="inlineStr">
        <is>
          <t>No</t>
        </is>
      </c>
      <c r="R227" s="6">
        <f>IF(K227="Yes",1,0)</f>
        <v/>
      </c>
      <c r="S227" s="6">
        <f>IF(K227="No",1,0)</f>
        <v/>
      </c>
      <c r="T227" s="6">
        <f>ROUND((IF(L227="",'Subscriptions'!$T$2,L227)-J227)/30.44,1)</f>
        <v/>
      </c>
      <c r="U227" s="6">
        <f>IF(AND(P227&lt;'Subscriptions'!$T$4,O227&lt;='Subscriptions'!$T$5),1,0)</f>
        <v/>
      </c>
    </row>
    <row r="228">
      <c r="A228" s="6" t="inlineStr">
        <is>
          <t>CUST-0227</t>
        </is>
      </c>
      <c r="B228" s="6" t="inlineStr">
        <is>
          <t>Starter</t>
        </is>
      </c>
      <c r="C228" s="6" t="inlineStr">
        <is>
          <t>Monthly</t>
        </is>
      </c>
      <c r="D228" s="6" t="inlineStr">
        <is>
          <t>Retail</t>
        </is>
      </c>
      <c r="E228" s="6" t="inlineStr">
        <is>
          <t>1-10</t>
        </is>
      </c>
      <c r="F228" s="6" t="n">
        <v>6</v>
      </c>
      <c r="G228" s="6" t="n">
        <v>50.75</v>
      </c>
      <c r="H228" s="6" t="inlineStr">
        <is>
          <t>Referral</t>
        </is>
      </c>
      <c r="I228" s="6" t="inlineStr">
        <is>
          <t>Europe</t>
        </is>
      </c>
      <c r="J228" s="7" t="n">
        <v>45545</v>
      </c>
      <c r="K228" s="6" t="inlineStr">
        <is>
          <t>Yes</t>
        </is>
      </c>
      <c r="L228" s="7" t="n">
        <v>45592</v>
      </c>
      <c r="M228" s="6" t="inlineStr">
        <is>
          <t>Missing Features</t>
        </is>
      </c>
      <c r="N228" s="6" t="n">
        <v>5</v>
      </c>
      <c r="O228" s="6" t="n">
        <v>3</v>
      </c>
      <c r="P228" s="6" t="n">
        <v>39</v>
      </c>
      <c r="Q228" s="6" t="inlineStr">
        <is>
          <t>No</t>
        </is>
      </c>
      <c r="R228" s="6">
        <f>IF(K228="Yes",1,0)</f>
        <v/>
      </c>
      <c r="S228" s="6">
        <f>IF(K228="No",1,0)</f>
        <v/>
      </c>
      <c r="T228" s="6">
        <f>ROUND((IF(L228="",'Subscriptions'!$T$2,L228)-J228)/30.44,1)</f>
        <v/>
      </c>
      <c r="U228" s="6">
        <f>IF(AND(P228&lt;'Subscriptions'!$T$4,O228&lt;='Subscriptions'!$T$5),1,0)</f>
        <v/>
      </c>
    </row>
    <row r="229">
      <c r="A229" s="6" t="inlineStr">
        <is>
          <t>CUST-0228</t>
        </is>
      </c>
      <c r="B229" s="6" t="inlineStr">
        <is>
          <t>Starter</t>
        </is>
      </c>
      <c r="C229" s="6" t="inlineStr">
        <is>
          <t>Annual</t>
        </is>
      </c>
      <c r="D229" s="6" t="inlineStr">
        <is>
          <t>Consulting</t>
        </is>
      </c>
      <c r="E229" s="6" t="inlineStr">
        <is>
          <t>11-50</t>
        </is>
      </c>
      <c r="F229" s="6" t="n">
        <v>10</v>
      </c>
      <c r="G229" s="6" t="n">
        <v>57.93</v>
      </c>
      <c r="H229" s="6" t="inlineStr">
        <is>
          <t>Organic Search</t>
        </is>
      </c>
      <c r="I229" s="6" t="inlineStr">
        <is>
          <t>Europe</t>
        </is>
      </c>
      <c r="J229" s="7" t="n">
        <v>45303</v>
      </c>
      <c r="K229" s="6" t="inlineStr">
        <is>
          <t>No</t>
        </is>
      </c>
      <c r="L229" s="7" t="n"/>
      <c r="M229" s="6" t="n"/>
      <c r="N229" s="6" t="n">
        <v>8</v>
      </c>
      <c r="O229" s="6" t="n">
        <v>6</v>
      </c>
      <c r="P229" s="6" t="n">
        <v>46</v>
      </c>
      <c r="Q229" s="6" t="inlineStr">
        <is>
          <t>Yes</t>
        </is>
      </c>
      <c r="R229" s="6">
        <f>IF(K229="Yes",1,0)</f>
        <v/>
      </c>
      <c r="S229" s="6">
        <f>IF(K229="No",1,0)</f>
        <v/>
      </c>
      <c r="T229" s="6">
        <f>ROUND((IF(L229="",'Subscriptions'!$T$2,L229)-J229)/30.44,1)</f>
        <v/>
      </c>
      <c r="U229" s="6">
        <f>IF(AND(P229&lt;'Subscriptions'!$T$4,O229&lt;='Subscriptions'!$T$5),1,0)</f>
        <v/>
      </c>
    </row>
    <row r="230">
      <c r="A230" s="6" t="inlineStr">
        <is>
          <t>CUST-0229</t>
        </is>
      </c>
      <c r="B230" s="6" t="inlineStr">
        <is>
          <t>Enterprise</t>
        </is>
      </c>
      <c r="C230" s="6" t="inlineStr">
        <is>
          <t>Monthly</t>
        </is>
      </c>
      <c r="D230" s="6" t="inlineStr">
        <is>
          <t>Manufacturing</t>
        </is>
      </c>
      <c r="E230" s="6" t="inlineStr">
        <is>
          <t>201-500</t>
        </is>
      </c>
      <c r="F230" s="6" t="n">
        <v>118</v>
      </c>
      <c r="G230" s="6" t="n">
        <v>9256.450000000001</v>
      </c>
      <c r="H230" s="6" t="inlineStr">
        <is>
          <t>Organic Search</t>
        </is>
      </c>
      <c r="I230" s="6" t="inlineStr">
        <is>
          <t>Europe</t>
        </is>
      </c>
      <c r="J230" s="7" t="n">
        <v>45388</v>
      </c>
      <c r="K230" s="6" t="inlineStr">
        <is>
          <t>No</t>
        </is>
      </c>
      <c r="L230" s="7" t="n"/>
      <c r="M230" s="6" t="n"/>
      <c r="N230" s="6" t="n">
        <v>0</v>
      </c>
      <c r="O230" s="6" t="n">
        <v>10</v>
      </c>
      <c r="P230" s="6" t="n">
        <v>85</v>
      </c>
      <c r="Q230" s="6" t="inlineStr">
        <is>
          <t>No</t>
        </is>
      </c>
      <c r="R230" s="6">
        <f>IF(K230="Yes",1,0)</f>
        <v/>
      </c>
      <c r="S230" s="6">
        <f>IF(K230="No",1,0)</f>
        <v/>
      </c>
      <c r="T230" s="6">
        <f>ROUND((IF(L230="",'Subscriptions'!$T$2,L230)-J230)/30.44,1)</f>
        <v/>
      </c>
      <c r="U230" s="6">
        <f>IF(AND(P230&lt;'Subscriptions'!$T$4,O230&lt;='Subscriptions'!$T$5),1,0)</f>
        <v/>
      </c>
    </row>
    <row r="231">
      <c r="A231" s="6" t="inlineStr">
        <is>
          <t>CUST-0230</t>
        </is>
      </c>
      <c r="B231" s="6" t="inlineStr">
        <is>
          <t>Starter</t>
        </is>
      </c>
      <c r="C231" s="6" t="inlineStr">
        <is>
          <t>Monthly</t>
        </is>
      </c>
      <c r="D231" s="6" t="inlineStr">
        <is>
          <t>Finance</t>
        </is>
      </c>
      <c r="E231" s="6" t="inlineStr">
        <is>
          <t>11-50</t>
        </is>
      </c>
      <c r="F231" s="6" t="n">
        <v>24</v>
      </c>
      <c r="G231" s="6" t="n">
        <v>129.05</v>
      </c>
      <c r="H231" s="6" t="inlineStr">
        <is>
          <t>Referral</t>
        </is>
      </c>
      <c r="I231" s="6" t="inlineStr">
        <is>
          <t>North America</t>
        </is>
      </c>
      <c r="J231" s="7" t="n">
        <v>45087</v>
      </c>
      <c r="K231" s="6" t="inlineStr">
        <is>
          <t>Yes</t>
        </is>
      </c>
      <c r="L231" s="7" t="n">
        <v>45221</v>
      </c>
      <c r="M231" s="6" t="inlineStr">
        <is>
          <t>Switched Competitor</t>
        </is>
      </c>
      <c r="N231" s="6" t="n">
        <v>13</v>
      </c>
      <c r="O231" s="6" t="n">
        <v>1</v>
      </c>
      <c r="P231" s="6" t="n">
        <v>31</v>
      </c>
      <c r="Q231" s="6" t="inlineStr">
        <is>
          <t>No</t>
        </is>
      </c>
      <c r="R231" s="6">
        <f>IF(K231="Yes",1,0)</f>
        <v/>
      </c>
      <c r="S231" s="6">
        <f>IF(K231="No",1,0)</f>
        <v/>
      </c>
      <c r="T231" s="6">
        <f>ROUND((IF(L231="",'Subscriptions'!$T$2,L231)-J231)/30.44,1)</f>
        <v/>
      </c>
      <c r="U231" s="6">
        <f>IF(AND(P231&lt;'Subscriptions'!$T$4,O231&lt;='Subscriptions'!$T$5),1,0)</f>
        <v/>
      </c>
    </row>
    <row r="232">
      <c r="A232" s="6" t="inlineStr">
        <is>
          <t>CUST-0231</t>
        </is>
      </c>
      <c r="B232" s="6" t="inlineStr">
        <is>
          <t>Starter</t>
        </is>
      </c>
      <c r="C232" s="6" t="inlineStr">
        <is>
          <t>Monthly</t>
        </is>
      </c>
      <c r="D232" s="6" t="inlineStr">
        <is>
          <t>Education</t>
        </is>
      </c>
      <c r="E232" s="6" t="inlineStr">
        <is>
          <t>51-200</t>
        </is>
      </c>
      <c r="F232" s="6" t="n">
        <v>33</v>
      </c>
      <c r="G232" s="6" t="n">
        <v>168.2</v>
      </c>
      <c r="H232" s="6" t="inlineStr">
        <is>
          <t>Direct Sales</t>
        </is>
      </c>
      <c r="I232" s="6" t="inlineStr">
        <is>
          <t>North America</t>
        </is>
      </c>
      <c r="J232" s="7" t="n">
        <v>45246</v>
      </c>
      <c r="K232" s="6" t="inlineStr">
        <is>
          <t>No</t>
        </is>
      </c>
      <c r="L232" s="7" t="n"/>
      <c r="M232" s="6" t="n"/>
      <c r="N232" s="6" t="n">
        <v>4</v>
      </c>
      <c r="O232" s="6" t="n">
        <v>9</v>
      </c>
      <c r="P232" s="6" t="n">
        <v>52</v>
      </c>
      <c r="Q232" s="6" t="inlineStr">
        <is>
          <t>No</t>
        </is>
      </c>
      <c r="R232" s="6">
        <f>IF(K232="Yes",1,0)</f>
        <v/>
      </c>
      <c r="S232" s="6">
        <f>IF(K232="No",1,0)</f>
        <v/>
      </c>
      <c r="T232" s="6">
        <f>ROUND((IF(L232="",'Subscriptions'!$T$2,L232)-J232)/30.44,1)</f>
        <v/>
      </c>
      <c r="U232" s="6">
        <f>IF(AND(P232&lt;'Subscriptions'!$T$4,O232&lt;='Subscriptions'!$T$5),1,0)</f>
        <v/>
      </c>
    </row>
    <row r="233">
      <c r="A233" s="6" t="inlineStr">
        <is>
          <t>CUST-0232</t>
        </is>
      </c>
      <c r="B233" s="6" t="inlineStr">
        <is>
          <t>Professional</t>
        </is>
      </c>
      <c r="C233" s="6" t="inlineStr">
        <is>
          <t>Monthly</t>
        </is>
      </c>
      <c r="D233" s="6" t="inlineStr">
        <is>
          <t>Retail</t>
        </is>
      </c>
      <c r="E233" s="6" t="inlineStr">
        <is>
          <t>51-200</t>
        </is>
      </c>
      <c r="F233" s="6" t="n">
        <v>44</v>
      </c>
      <c r="G233" s="6" t="n">
        <v>588.55</v>
      </c>
      <c r="H233" s="6" t="inlineStr">
        <is>
          <t>Organic Search</t>
        </is>
      </c>
      <c r="I233" s="6" t="inlineStr">
        <is>
          <t>Europe</t>
        </is>
      </c>
      <c r="J233" s="7" t="n">
        <v>45817</v>
      </c>
      <c r="K233" s="6" t="inlineStr">
        <is>
          <t>No</t>
        </is>
      </c>
      <c r="L233" s="7" t="n"/>
      <c r="M233" s="6" t="n"/>
      <c r="N233" s="6" t="n">
        <v>9</v>
      </c>
      <c r="O233" s="6" t="n">
        <v>5</v>
      </c>
      <c r="P233" s="6" t="n">
        <v>71</v>
      </c>
      <c r="Q233" s="6" t="inlineStr">
        <is>
          <t>No</t>
        </is>
      </c>
      <c r="R233" s="6">
        <f>IF(K233="Yes",1,0)</f>
        <v/>
      </c>
      <c r="S233" s="6">
        <f>IF(K233="No",1,0)</f>
        <v/>
      </c>
      <c r="T233" s="6">
        <f>ROUND((IF(L233="",'Subscriptions'!$T$2,L233)-J233)/30.44,1)</f>
        <v/>
      </c>
      <c r="U233" s="6">
        <f>IF(AND(P233&lt;'Subscriptions'!$T$4,O233&lt;='Subscriptions'!$T$5),1,0)</f>
        <v/>
      </c>
    </row>
    <row r="234">
      <c r="A234" s="6" t="inlineStr">
        <is>
          <t>CUST-0233</t>
        </is>
      </c>
      <c r="B234" s="6" t="inlineStr">
        <is>
          <t>Professional</t>
        </is>
      </c>
      <c r="C234" s="6" t="inlineStr">
        <is>
          <t>Monthly</t>
        </is>
      </c>
      <c r="D234" s="6" t="inlineStr">
        <is>
          <t>Real Estate</t>
        </is>
      </c>
      <c r="E234" s="6" t="inlineStr">
        <is>
          <t>201-500</t>
        </is>
      </c>
      <c r="F234" s="6" t="n">
        <v>112</v>
      </c>
      <c r="G234" s="6" t="n">
        <v>1394.35</v>
      </c>
      <c r="H234" s="6" t="inlineStr">
        <is>
          <t>Partner</t>
        </is>
      </c>
      <c r="I234" s="6" t="inlineStr">
        <is>
          <t>North America</t>
        </is>
      </c>
      <c r="J234" s="7" t="n">
        <v>45695</v>
      </c>
      <c r="K234" s="6" t="inlineStr">
        <is>
          <t>No</t>
        </is>
      </c>
      <c r="L234" s="7" t="n"/>
      <c r="M234" s="6" t="n"/>
      <c r="N234" s="6" t="n">
        <v>0</v>
      </c>
      <c r="O234" s="6" t="n">
        <v>8</v>
      </c>
      <c r="P234" s="6" t="n">
        <v>17</v>
      </c>
      <c r="Q234" s="6" t="inlineStr">
        <is>
          <t>No</t>
        </is>
      </c>
      <c r="R234" s="6">
        <f>IF(K234="Yes",1,0)</f>
        <v/>
      </c>
      <c r="S234" s="6">
        <f>IF(K234="No",1,0)</f>
        <v/>
      </c>
      <c r="T234" s="6">
        <f>ROUND((IF(L234="",'Subscriptions'!$T$2,L234)-J234)/30.44,1)</f>
        <v/>
      </c>
      <c r="U234" s="6">
        <f>IF(AND(P234&lt;'Subscriptions'!$T$4,O234&lt;='Subscriptions'!$T$5),1,0)</f>
        <v/>
      </c>
    </row>
    <row r="235">
      <c r="A235" s="6" t="inlineStr">
        <is>
          <t>CUST-0234</t>
        </is>
      </c>
      <c r="B235" s="6" t="inlineStr">
        <is>
          <t>Business</t>
        </is>
      </c>
      <c r="C235" s="6" t="inlineStr">
        <is>
          <t>Monthly</t>
        </is>
      </c>
      <c r="D235" s="6" t="inlineStr">
        <is>
          <t>Consulting</t>
        </is>
      </c>
      <c r="E235" s="6" t="inlineStr">
        <is>
          <t>51-200</t>
        </is>
      </c>
      <c r="F235" s="6" t="n">
        <v>55</v>
      </c>
      <c r="G235" s="6" t="n">
        <v>1810.9</v>
      </c>
      <c r="H235" s="6" t="inlineStr">
        <is>
          <t>Paid Ads</t>
        </is>
      </c>
      <c r="I235" s="6" t="inlineStr">
        <is>
          <t>North America</t>
        </is>
      </c>
      <c r="J235" s="7" t="n">
        <v>45385</v>
      </c>
      <c r="K235" s="6" t="inlineStr">
        <is>
          <t>Yes</t>
        </is>
      </c>
      <c r="L235" s="7" t="n">
        <v>45630</v>
      </c>
      <c r="M235" s="6" t="inlineStr">
        <is>
          <t>Poor Support</t>
        </is>
      </c>
      <c r="N235" s="6" t="n">
        <v>2</v>
      </c>
      <c r="O235" s="6" t="n">
        <v>2</v>
      </c>
      <c r="P235" s="6" t="n">
        <v>15</v>
      </c>
      <c r="Q235" s="6" t="inlineStr">
        <is>
          <t>No</t>
        </is>
      </c>
      <c r="R235" s="6">
        <f>IF(K235="Yes",1,0)</f>
        <v/>
      </c>
      <c r="S235" s="6">
        <f>IF(K235="No",1,0)</f>
        <v/>
      </c>
      <c r="T235" s="6">
        <f>ROUND((IF(L235="",'Subscriptions'!$T$2,L235)-J235)/30.44,1)</f>
        <v/>
      </c>
      <c r="U235" s="6">
        <f>IF(AND(P235&lt;'Subscriptions'!$T$4,O235&lt;='Subscriptions'!$T$5),1,0)</f>
        <v/>
      </c>
    </row>
    <row r="236">
      <c r="A236" s="6" t="inlineStr">
        <is>
          <t>CUST-0235</t>
        </is>
      </c>
      <c r="B236" s="6" t="inlineStr">
        <is>
          <t>Business</t>
        </is>
      </c>
      <c r="C236" s="6" t="inlineStr">
        <is>
          <t>Annual</t>
        </is>
      </c>
      <c r="D236" s="6" t="inlineStr">
        <is>
          <t>Consulting</t>
        </is>
      </c>
      <c r="E236" s="6" t="inlineStr">
        <is>
          <t>11-50</t>
        </is>
      </c>
      <c r="F236" s="6" t="n">
        <v>15</v>
      </c>
      <c r="G236" s="6" t="n">
        <v>524.37</v>
      </c>
      <c r="H236" s="6" t="inlineStr">
        <is>
          <t>Paid Ads</t>
        </is>
      </c>
      <c r="I236" s="6" t="inlineStr">
        <is>
          <t>North America</t>
        </is>
      </c>
      <c r="J236" s="7" t="n">
        <v>45421</v>
      </c>
      <c r="K236" s="6" t="inlineStr">
        <is>
          <t>No</t>
        </is>
      </c>
      <c r="L236" s="7" t="n"/>
      <c r="M236" s="6" t="n"/>
      <c r="N236" s="6" t="n">
        <v>6</v>
      </c>
      <c r="O236" s="6" t="n">
        <v>9</v>
      </c>
      <c r="P236" s="6" t="n">
        <v>23</v>
      </c>
      <c r="Q236" s="6" t="inlineStr">
        <is>
          <t>Yes</t>
        </is>
      </c>
      <c r="R236" s="6">
        <f>IF(K236="Yes",1,0)</f>
        <v/>
      </c>
      <c r="S236" s="6">
        <f>IF(K236="No",1,0)</f>
        <v/>
      </c>
      <c r="T236" s="6">
        <f>ROUND((IF(L236="",'Subscriptions'!$T$2,L236)-J236)/30.44,1)</f>
        <v/>
      </c>
      <c r="U236" s="6">
        <f>IF(AND(P236&lt;'Subscriptions'!$T$4,O236&lt;='Subscriptions'!$T$5),1,0)</f>
        <v/>
      </c>
    </row>
    <row r="237">
      <c r="A237" s="6" t="inlineStr">
        <is>
          <t>CUST-0236</t>
        </is>
      </c>
      <c r="B237" s="6" t="inlineStr">
        <is>
          <t>Starter</t>
        </is>
      </c>
      <c r="C237" s="6" t="inlineStr">
        <is>
          <t>Monthly</t>
        </is>
      </c>
      <c r="D237" s="6" t="inlineStr">
        <is>
          <t>Media</t>
        </is>
      </c>
      <c r="E237" s="6" t="inlineStr">
        <is>
          <t>201-500</t>
        </is>
      </c>
      <c r="F237" s="6" t="n">
        <v>45</v>
      </c>
      <c r="G237" s="6" t="n">
        <v>220.4</v>
      </c>
      <c r="H237" s="6" t="inlineStr">
        <is>
          <t>Paid Ads</t>
        </is>
      </c>
      <c r="I237" s="6" t="inlineStr">
        <is>
          <t>Europe</t>
        </is>
      </c>
      <c r="J237" s="7" t="n">
        <v>45117</v>
      </c>
      <c r="K237" s="6" t="inlineStr">
        <is>
          <t>Yes</t>
        </is>
      </c>
      <c r="L237" s="7" t="n">
        <v>45119</v>
      </c>
      <c r="M237" s="6" t="inlineStr">
        <is>
          <t>Company Closed</t>
        </is>
      </c>
      <c r="N237" s="6" t="n">
        <v>7</v>
      </c>
      <c r="O237" s="6" t="n">
        <v>3</v>
      </c>
      <c r="P237" s="6" t="n">
        <v>49</v>
      </c>
      <c r="Q237" s="6" t="inlineStr">
        <is>
          <t>No</t>
        </is>
      </c>
      <c r="R237" s="6">
        <f>IF(K237="Yes",1,0)</f>
        <v/>
      </c>
      <c r="S237" s="6">
        <f>IF(K237="No",1,0)</f>
        <v/>
      </c>
      <c r="T237" s="6">
        <f>ROUND((IF(L237="",'Subscriptions'!$T$2,L237)-J237)/30.44,1)</f>
        <v/>
      </c>
      <c r="U237" s="6">
        <f>IF(AND(P237&lt;'Subscriptions'!$T$4,O237&lt;='Subscriptions'!$T$5),1,0)</f>
        <v/>
      </c>
    </row>
    <row r="238">
      <c r="A238" s="6" t="inlineStr">
        <is>
          <t>CUST-0237</t>
        </is>
      </c>
      <c r="B238" s="6" t="inlineStr">
        <is>
          <t>Professional</t>
        </is>
      </c>
      <c r="C238" s="6" t="inlineStr">
        <is>
          <t>Monthly</t>
        </is>
      </c>
      <c r="D238" s="6" t="inlineStr">
        <is>
          <t>Consulting</t>
        </is>
      </c>
      <c r="E238" s="6" t="inlineStr">
        <is>
          <t>500+</t>
        </is>
      </c>
      <c r="F238" s="6" t="n">
        <v>109</v>
      </c>
      <c r="G238" s="6" t="n">
        <v>1358.8</v>
      </c>
      <c r="H238" s="6" t="inlineStr">
        <is>
          <t>Direct Sales</t>
        </is>
      </c>
      <c r="I238" s="6" t="inlineStr">
        <is>
          <t>Europe</t>
        </is>
      </c>
      <c r="J238" s="7" t="n">
        <v>44788</v>
      </c>
      <c r="K238" s="6" t="inlineStr">
        <is>
          <t>No</t>
        </is>
      </c>
      <c r="L238" s="7" t="n"/>
      <c r="M238" s="6" t="n"/>
      <c r="N238" s="6" t="n">
        <v>0</v>
      </c>
      <c r="O238" s="6" t="n">
        <v>3</v>
      </c>
      <c r="P238" s="6" t="n">
        <v>30</v>
      </c>
      <c r="Q238" s="6" t="inlineStr">
        <is>
          <t>No</t>
        </is>
      </c>
      <c r="R238" s="6">
        <f>IF(K238="Yes",1,0)</f>
        <v/>
      </c>
      <c r="S238" s="6">
        <f>IF(K238="No",1,0)</f>
        <v/>
      </c>
      <c r="T238" s="6">
        <f>ROUND((IF(L238="",'Subscriptions'!$T$2,L238)-J238)/30.44,1)</f>
        <v/>
      </c>
      <c r="U238" s="6">
        <f>IF(AND(P238&lt;'Subscriptions'!$T$4,O238&lt;='Subscriptions'!$T$5),1,0)</f>
        <v/>
      </c>
    </row>
    <row r="239">
      <c r="A239" s="6" t="inlineStr">
        <is>
          <t>CUST-0238</t>
        </is>
      </c>
      <c r="B239" s="6" t="inlineStr">
        <is>
          <t>Business</t>
        </is>
      </c>
      <c r="C239" s="6" t="inlineStr">
        <is>
          <t>Monthly</t>
        </is>
      </c>
      <c r="D239" s="6" t="inlineStr">
        <is>
          <t>Real Estate</t>
        </is>
      </c>
      <c r="E239" s="6" t="inlineStr">
        <is>
          <t>51-200</t>
        </is>
      </c>
      <c r="F239" s="6" t="n">
        <v>29</v>
      </c>
      <c r="G239" s="6" t="n">
        <v>1034.8</v>
      </c>
      <c r="H239" s="6" t="inlineStr">
        <is>
          <t>Referral</t>
        </is>
      </c>
      <c r="I239" s="6" t="inlineStr">
        <is>
          <t>North America</t>
        </is>
      </c>
      <c r="J239" s="7" t="n">
        <v>45045</v>
      </c>
      <c r="K239" s="6" t="inlineStr">
        <is>
          <t>No</t>
        </is>
      </c>
      <c r="L239" s="7" t="n"/>
      <c r="M239" s="6" t="n"/>
      <c r="N239" s="6" t="n">
        <v>12</v>
      </c>
      <c r="O239" s="6" t="n">
        <v>1</v>
      </c>
      <c r="P239" s="6" t="n">
        <v>86</v>
      </c>
      <c r="Q239" s="6" t="inlineStr">
        <is>
          <t>No</t>
        </is>
      </c>
      <c r="R239" s="6">
        <f>IF(K239="Yes",1,0)</f>
        <v/>
      </c>
      <c r="S239" s="6">
        <f>IF(K239="No",1,0)</f>
        <v/>
      </c>
      <c r="T239" s="6">
        <f>ROUND((IF(L239="",'Subscriptions'!$T$2,L239)-J239)/30.44,1)</f>
        <v/>
      </c>
      <c r="U239" s="6">
        <f>IF(AND(P239&lt;'Subscriptions'!$T$4,O239&lt;='Subscriptions'!$T$5),1,0)</f>
        <v/>
      </c>
    </row>
    <row r="240">
      <c r="A240" s="6" t="inlineStr">
        <is>
          <t>CUST-0239</t>
        </is>
      </c>
      <c r="B240" s="6" t="inlineStr">
        <is>
          <t>Business</t>
        </is>
      </c>
      <c r="C240" s="6" t="inlineStr">
        <is>
          <t>Monthly</t>
        </is>
      </c>
      <c r="D240" s="6" t="inlineStr">
        <is>
          <t>Media</t>
        </is>
      </c>
      <c r="E240" s="6" t="inlineStr">
        <is>
          <t>11-50</t>
        </is>
      </c>
      <c r="F240" s="6" t="n">
        <v>34</v>
      </c>
      <c r="G240" s="6" t="n">
        <v>1184.05</v>
      </c>
      <c r="H240" s="6" t="inlineStr">
        <is>
          <t>Partner</t>
        </is>
      </c>
      <c r="I240" s="6" t="inlineStr">
        <is>
          <t>Latin America</t>
        </is>
      </c>
      <c r="J240" s="7" t="n">
        <v>44667</v>
      </c>
      <c r="K240" s="6" t="inlineStr">
        <is>
          <t>Yes</t>
        </is>
      </c>
      <c r="L240" s="7" t="n">
        <v>45109</v>
      </c>
      <c r="M240" s="6" t="inlineStr">
        <is>
          <t>Missing Features</t>
        </is>
      </c>
      <c r="N240" s="6" t="n">
        <v>8</v>
      </c>
      <c r="O240" s="6" t="n">
        <v>3</v>
      </c>
      <c r="P240" s="6" t="n">
        <v>24</v>
      </c>
      <c r="Q240" s="6" t="inlineStr">
        <is>
          <t>No</t>
        </is>
      </c>
      <c r="R240" s="6">
        <f>IF(K240="Yes",1,0)</f>
        <v/>
      </c>
      <c r="S240" s="6">
        <f>IF(K240="No",1,0)</f>
        <v/>
      </c>
      <c r="T240" s="6">
        <f>ROUND((IF(L240="",'Subscriptions'!$T$2,L240)-J240)/30.44,1)</f>
        <v/>
      </c>
      <c r="U240" s="6">
        <f>IF(AND(P240&lt;'Subscriptions'!$T$4,O240&lt;='Subscriptions'!$T$5),1,0)</f>
        <v/>
      </c>
    </row>
    <row r="241">
      <c r="A241" s="6" t="inlineStr">
        <is>
          <t>CUST-0240</t>
        </is>
      </c>
      <c r="B241" s="6" t="inlineStr">
        <is>
          <t>Starter</t>
        </is>
      </c>
      <c r="C241" s="6" t="inlineStr">
        <is>
          <t>Annual</t>
        </is>
      </c>
      <c r="D241" s="6" t="inlineStr">
        <is>
          <t>Legal</t>
        </is>
      </c>
      <c r="E241" s="6" t="inlineStr">
        <is>
          <t>1-10</t>
        </is>
      </c>
      <c r="F241" s="6" t="n">
        <v>4</v>
      </c>
      <c r="G241" s="6" t="n">
        <v>35.74</v>
      </c>
      <c r="H241" s="6" t="inlineStr">
        <is>
          <t>Social Media</t>
        </is>
      </c>
      <c r="I241" s="6" t="inlineStr">
        <is>
          <t>Asia Pacific</t>
        </is>
      </c>
      <c r="J241" s="7" t="n">
        <v>45703</v>
      </c>
      <c r="K241" s="6" t="inlineStr">
        <is>
          <t>No</t>
        </is>
      </c>
      <c r="L241" s="7" t="n"/>
      <c r="M241" s="6" t="n"/>
      <c r="N241" s="6" t="n">
        <v>6</v>
      </c>
      <c r="O241" s="6" t="n">
        <v>2</v>
      </c>
      <c r="P241" s="6" t="n">
        <v>23</v>
      </c>
      <c r="Q241" s="6" t="inlineStr">
        <is>
          <t>No</t>
        </is>
      </c>
      <c r="R241" s="6">
        <f>IF(K241="Yes",1,0)</f>
        <v/>
      </c>
      <c r="S241" s="6">
        <f>IF(K241="No",1,0)</f>
        <v/>
      </c>
      <c r="T241" s="6">
        <f>ROUND((IF(L241="",'Subscriptions'!$T$2,L241)-J241)/30.44,1)</f>
        <v/>
      </c>
      <c r="U241" s="6">
        <f>IF(AND(P241&lt;'Subscriptions'!$T$4,O241&lt;='Subscriptions'!$T$5),1,0)</f>
        <v/>
      </c>
    </row>
    <row r="242">
      <c r="A242" s="6" t="inlineStr">
        <is>
          <t>CUST-0241</t>
        </is>
      </c>
      <c r="B242" s="6" t="inlineStr">
        <is>
          <t>Starter</t>
        </is>
      </c>
      <c r="C242" s="6" t="inlineStr">
        <is>
          <t>Monthly</t>
        </is>
      </c>
      <c r="D242" s="6" t="inlineStr">
        <is>
          <t>Technology</t>
        </is>
      </c>
      <c r="E242" s="6" t="inlineStr">
        <is>
          <t>51-200</t>
        </is>
      </c>
      <c r="F242" s="6" t="n">
        <v>66</v>
      </c>
      <c r="G242" s="6" t="n">
        <v>311.75</v>
      </c>
      <c r="H242" s="6" t="inlineStr">
        <is>
          <t>Referral</t>
        </is>
      </c>
      <c r="I242" s="6" t="inlineStr">
        <is>
          <t>Asia Pacific</t>
        </is>
      </c>
      <c r="J242" s="7" t="n">
        <v>45178</v>
      </c>
      <c r="K242" s="6" t="inlineStr">
        <is>
          <t>Yes</t>
        </is>
      </c>
      <c r="L242" s="7" t="n">
        <v>45228</v>
      </c>
      <c r="M242" s="6" t="inlineStr">
        <is>
          <t>Budget Cuts</t>
        </is>
      </c>
      <c r="N242" s="6" t="n">
        <v>1</v>
      </c>
      <c r="O242" s="6" t="n">
        <v>4</v>
      </c>
      <c r="P242" s="6" t="n">
        <v>15</v>
      </c>
      <c r="Q242" s="6" t="inlineStr">
        <is>
          <t>No</t>
        </is>
      </c>
      <c r="R242" s="6">
        <f>IF(K242="Yes",1,0)</f>
        <v/>
      </c>
      <c r="S242" s="6">
        <f>IF(K242="No",1,0)</f>
        <v/>
      </c>
      <c r="T242" s="6">
        <f>ROUND((IF(L242="",'Subscriptions'!$T$2,L242)-J242)/30.44,1)</f>
        <v/>
      </c>
      <c r="U242" s="6">
        <f>IF(AND(P242&lt;'Subscriptions'!$T$4,O242&lt;='Subscriptions'!$T$5),1,0)</f>
        <v/>
      </c>
    </row>
    <row r="243">
      <c r="A243" s="6" t="inlineStr">
        <is>
          <t>CUST-0242</t>
        </is>
      </c>
      <c r="B243" s="6" t="inlineStr">
        <is>
          <t>Business</t>
        </is>
      </c>
      <c r="C243" s="6" t="inlineStr">
        <is>
          <t>Annual</t>
        </is>
      </c>
      <c r="D243" s="6" t="inlineStr">
        <is>
          <t>Manufacturing</t>
        </is>
      </c>
      <c r="E243" s="6" t="inlineStr">
        <is>
          <t>11-50</t>
        </is>
      </c>
      <c r="F243" s="6" t="n">
        <v>10</v>
      </c>
      <c r="G243" s="6" t="n">
        <v>397.5</v>
      </c>
      <c r="H243" s="6" t="inlineStr">
        <is>
          <t>Paid Ads</t>
        </is>
      </c>
      <c r="I243" s="6" t="inlineStr">
        <is>
          <t>Asia Pacific</t>
        </is>
      </c>
      <c r="J243" s="7" t="n">
        <v>45232</v>
      </c>
      <c r="K243" s="6" t="inlineStr">
        <is>
          <t>No</t>
        </is>
      </c>
      <c r="L243" s="7" t="n"/>
      <c r="M243" s="6" t="n"/>
      <c r="N243" s="6" t="n">
        <v>1</v>
      </c>
      <c r="O243" s="6" t="n">
        <v>8</v>
      </c>
      <c r="P243" s="6" t="n">
        <v>38</v>
      </c>
      <c r="Q243" s="6" t="inlineStr">
        <is>
          <t>No</t>
        </is>
      </c>
      <c r="R243" s="6">
        <f>IF(K243="Yes",1,0)</f>
        <v/>
      </c>
      <c r="S243" s="6">
        <f>IF(K243="No",1,0)</f>
        <v/>
      </c>
      <c r="T243" s="6">
        <f>ROUND((IF(L243="",'Subscriptions'!$T$2,L243)-J243)/30.44,1)</f>
        <v/>
      </c>
      <c r="U243" s="6">
        <f>IF(AND(P243&lt;'Subscriptions'!$T$4,O243&lt;='Subscriptions'!$T$5),1,0)</f>
        <v/>
      </c>
    </row>
    <row r="244">
      <c r="A244" s="6" t="inlineStr">
        <is>
          <t>CUST-0243</t>
        </is>
      </c>
      <c r="B244" s="6" t="inlineStr">
        <is>
          <t>Enterprise</t>
        </is>
      </c>
      <c r="C244" s="6" t="inlineStr">
        <is>
          <t>Monthly</t>
        </is>
      </c>
      <c r="D244" s="6" t="inlineStr">
        <is>
          <t>Retail</t>
        </is>
      </c>
      <c r="E244" s="6" t="inlineStr">
        <is>
          <t>201-500</t>
        </is>
      </c>
      <c r="F244" s="6" t="n">
        <v>122</v>
      </c>
      <c r="G244" s="6" t="n">
        <v>9555.85</v>
      </c>
      <c r="H244" s="6" t="inlineStr">
        <is>
          <t>Organic Search</t>
        </is>
      </c>
      <c r="I244" s="6" t="inlineStr">
        <is>
          <t>North America</t>
        </is>
      </c>
      <c r="J244" s="7" t="n">
        <v>45572</v>
      </c>
      <c r="K244" s="6" t="inlineStr">
        <is>
          <t>No</t>
        </is>
      </c>
      <c r="L244" s="7" t="n"/>
      <c r="M244" s="6" t="n"/>
      <c r="N244" s="6" t="n">
        <v>4</v>
      </c>
      <c r="O244" s="6" t="n">
        <v>7</v>
      </c>
      <c r="P244" s="6" t="n">
        <v>94</v>
      </c>
      <c r="Q244" s="6" t="inlineStr">
        <is>
          <t>Yes</t>
        </is>
      </c>
      <c r="R244" s="6">
        <f>IF(K244="Yes",1,0)</f>
        <v/>
      </c>
      <c r="S244" s="6">
        <f>IF(K244="No",1,0)</f>
        <v/>
      </c>
      <c r="T244" s="6">
        <f>ROUND((IF(L244="",'Subscriptions'!$T$2,L244)-J244)/30.44,1)</f>
        <v/>
      </c>
      <c r="U244" s="6">
        <f>IF(AND(P244&lt;'Subscriptions'!$T$4,O244&lt;='Subscriptions'!$T$5),1,0)</f>
        <v/>
      </c>
    </row>
    <row r="245">
      <c r="A245" s="6" t="inlineStr">
        <is>
          <t>CUST-0244</t>
        </is>
      </c>
      <c r="B245" s="6" t="inlineStr">
        <is>
          <t>Starter</t>
        </is>
      </c>
      <c r="C245" s="6" t="inlineStr">
        <is>
          <t>Monthly</t>
        </is>
      </c>
      <c r="D245" s="6" t="inlineStr">
        <is>
          <t>Technology</t>
        </is>
      </c>
      <c r="E245" s="6" t="inlineStr">
        <is>
          <t>51-200</t>
        </is>
      </c>
      <c r="F245" s="6" t="n">
        <v>23</v>
      </c>
      <c r="G245" s="6" t="n">
        <v>124.7</v>
      </c>
      <c r="H245" s="6" t="inlineStr">
        <is>
          <t>Paid Ads</t>
        </is>
      </c>
      <c r="I245" s="6" t="inlineStr">
        <is>
          <t>Europe</t>
        </is>
      </c>
      <c r="J245" s="7" t="n">
        <v>45768</v>
      </c>
      <c r="K245" s="6" t="inlineStr">
        <is>
          <t>Yes</t>
        </is>
      </c>
      <c r="L245" s="7" t="n">
        <v>45784</v>
      </c>
      <c r="M245" s="6" t="inlineStr">
        <is>
          <t>Poor Support</t>
        </is>
      </c>
      <c r="N245" s="6" t="n">
        <v>7</v>
      </c>
      <c r="O245" s="6" t="n">
        <v>6</v>
      </c>
      <c r="P245" s="6" t="n">
        <v>18</v>
      </c>
      <c r="Q245" s="6" t="inlineStr">
        <is>
          <t>No</t>
        </is>
      </c>
      <c r="R245" s="6">
        <f>IF(K245="Yes",1,0)</f>
        <v/>
      </c>
      <c r="S245" s="6">
        <f>IF(K245="No",1,0)</f>
        <v/>
      </c>
      <c r="T245" s="6">
        <f>ROUND((IF(L245="",'Subscriptions'!$T$2,L245)-J245)/30.44,1)</f>
        <v/>
      </c>
      <c r="U245" s="6">
        <f>IF(AND(P245&lt;'Subscriptions'!$T$4,O245&lt;='Subscriptions'!$T$5),1,0)</f>
        <v/>
      </c>
    </row>
    <row r="246">
      <c r="A246" s="6" t="inlineStr">
        <is>
          <t>CUST-0245</t>
        </is>
      </c>
      <c r="B246" s="6" t="inlineStr">
        <is>
          <t>Business</t>
        </is>
      </c>
      <c r="C246" s="6" t="inlineStr">
        <is>
          <t>Annual</t>
        </is>
      </c>
      <c r="D246" s="6" t="inlineStr">
        <is>
          <t>Manufacturing</t>
        </is>
      </c>
      <c r="E246" s="6" t="inlineStr">
        <is>
          <t>1-10</t>
        </is>
      </c>
      <c r="F246" s="6" t="n">
        <v>1</v>
      </c>
      <c r="G246" s="6" t="n">
        <v>169.15</v>
      </c>
      <c r="H246" s="6" t="inlineStr">
        <is>
          <t>Organic Search</t>
        </is>
      </c>
      <c r="I246" s="6" t="inlineStr">
        <is>
          <t>North America</t>
        </is>
      </c>
      <c r="J246" s="7" t="n">
        <v>45989</v>
      </c>
      <c r="K246" s="6" t="inlineStr">
        <is>
          <t>No</t>
        </is>
      </c>
      <c r="L246" s="7" t="n"/>
      <c r="M246" s="6" t="n"/>
      <c r="N246" s="6" t="n">
        <v>5</v>
      </c>
      <c r="O246" s="6" t="n">
        <v>3</v>
      </c>
      <c r="P246" s="6" t="n">
        <v>39</v>
      </c>
      <c r="Q246" s="6" t="inlineStr">
        <is>
          <t>No</t>
        </is>
      </c>
      <c r="R246" s="6">
        <f>IF(K246="Yes",1,0)</f>
        <v/>
      </c>
      <c r="S246" s="6">
        <f>IF(K246="No",1,0)</f>
        <v/>
      </c>
      <c r="T246" s="6">
        <f>ROUND((IF(L246="",'Subscriptions'!$T$2,L246)-J246)/30.44,1)</f>
        <v/>
      </c>
      <c r="U246" s="6">
        <f>IF(AND(P246&lt;'Subscriptions'!$T$4,O246&lt;='Subscriptions'!$T$5),1,0)</f>
        <v/>
      </c>
    </row>
    <row r="247">
      <c r="A247" s="6" t="inlineStr">
        <is>
          <t>CUST-0246</t>
        </is>
      </c>
      <c r="B247" s="6" t="inlineStr">
        <is>
          <t>Professional</t>
        </is>
      </c>
      <c r="C247" s="6" t="inlineStr">
        <is>
          <t>Monthly</t>
        </is>
      </c>
      <c r="D247" s="6" t="inlineStr">
        <is>
          <t>Consulting</t>
        </is>
      </c>
      <c r="E247" s="6" t="inlineStr">
        <is>
          <t>1-10</t>
        </is>
      </c>
      <c r="F247" s="6" t="n">
        <v>6</v>
      </c>
      <c r="G247" s="6" t="n">
        <v>138.25</v>
      </c>
      <c r="H247" s="6" t="inlineStr">
        <is>
          <t>Referral</t>
        </is>
      </c>
      <c r="I247" s="6" t="inlineStr">
        <is>
          <t>Europe</t>
        </is>
      </c>
      <c r="J247" s="7" t="n">
        <v>45397</v>
      </c>
      <c r="K247" s="6" t="inlineStr">
        <is>
          <t>Yes</t>
        </is>
      </c>
      <c r="L247" s="7" t="n">
        <v>45466</v>
      </c>
      <c r="M247" s="6" t="inlineStr">
        <is>
          <t>Missing Features</t>
        </is>
      </c>
      <c r="N247" s="6" t="n">
        <v>5</v>
      </c>
      <c r="O247" s="6" t="n">
        <v>4</v>
      </c>
      <c r="P247" s="6" t="n">
        <v>14</v>
      </c>
      <c r="Q247" s="6" t="inlineStr">
        <is>
          <t>No</t>
        </is>
      </c>
      <c r="R247" s="6">
        <f>IF(K247="Yes",1,0)</f>
        <v/>
      </c>
      <c r="S247" s="6">
        <f>IF(K247="No",1,0)</f>
        <v/>
      </c>
      <c r="T247" s="6">
        <f>ROUND((IF(L247="",'Subscriptions'!$T$2,L247)-J247)/30.44,1)</f>
        <v/>
      </c>
      <c r="U247" s="6">
        <f>IF(AND(P247&lt;'Subscriptions'!$T$4,O247&lt;='Subscriptions'!$T$5),1,0)</f>
        <v/>
      </c>
    </row>
    <row r="248">
      <c r="A248" s="6" t="inlineStr">
        <is>
          <t>CUST-0247</t>
        </is>
      </c>
      <c r="B248" s="6" t="inlineStr">
        <is>
          <t>Business</t>
        </is>
      </c>
      <c r="C248" s="6" t="inlineStr">
        <is>
          <t>Annual</t>
        </is>
      </c>
      <c r="D248" s="6" t="inlineStr">
        <is>
          <t>Media</t>
        </is>
      </c>
      <c r="E248" s="6" t="inlineStr">
        <is>
          <t>500+</t>
        </is>
      </c>
      <c r="F248" s="6" t="n">
        <v>251</v>
      </c>
      <c r="G248" s="6" t="n">
        <v>6512.27</v>
      </c>
      <c r="H248" s="6" t="inlineStr">
        <is>
          <t>Social Media</t>
        </is>
      </c>
      <c r="I248" s="6" t="inlineStr">
        <is>
          <t>Latin America</t>
        </is>
      </c>
      <c r="J248" s="7" t="n">
        <v>45968</v>
      </c>
      <c r="K248" s="6" t="inlineStr">
        <is>
          <t>No</t>
        </is>
      </c>
      <c r="L248" s="7" t="n"/>
      <c r="M248" s="6" t="n"/>
      <c r="N248" s="6" t="n">
        <v>10</v>
      </c>
      <c r="O248" s="6" t="n">
        <v>6</v>
      </c>
      <c r="P248" s="6" t="n">
        <v>38</v>
      </c>
      <c r="Q248" s="6" t="inlineStr">
        <is>
          <t>No</t>
        </is>
      </c>
      <c r="R248" s="6">
        <f>IF(K248="Yes",1,0)</f>
        <v/>
      </c>
      <c r="S248" s="6">
        <f>IF(K248="No",1,0)</f>
        <v/>
      </c>
      <c r="T248" s="6">
        <f>ROUND((IF(L248="",'Subscriptions'!$T$2,L248)-J248)/30.44,1)</f>
        <v/>
      </c>
      <c r="U248" s="6">
        <f>IF(AND(P248&lt;'Subscriptions'!$T$4,O248&lt;='Subscriptions'!$T$5),1,0)</f>
        <v/>
      </c>
    </row>
    <row r="249">
      <c r="A249" s="6" t="inlineStr">
        <is>
          <t>CUST-0248</t>
        </is>
      </c>
      <c r="B249" s="6" t="inlineStr">
        <is>
          <t>Starter</t>
        </is>
      </c>
      <c r="C249" s="6" t="inlineStr">
        <is>
          <t>Annual</t>
        </is>
      </c>
      <c r="D249" s="6" t="inlineStr">
        <is>
          <t>Healthcare</t>
        </is>
      </c>
      <c r="E249" s="6" t="inlineStr">
        <is>
          <t>201-500</t>
        </is>
      </c>
      <c r="F249" s="6" t="n">
        <v>111</v>
      </c>
      <c r="G249" s="6" t="n">
        <v>431.37</v>
      </c>
      <c r="H249" s="6" t="inlineStr">
        <is>
          <t>Direct Sales</t>
        </is>
      </c>
      <c r="I249" s="6" t="inlineStr">
        <is>
          <t>Europe</t>
        </is>
      </c>
      <c r="J249" s="7" t="n">
        <v>45373</v>
      </c>
      <c r="K249" s="6" t="inlineStr">
        <is>
          <t>Yes</t>
        </is>
      </c>
      <c r="L249" s="7" t="n">
        <v>45614</v>
      </c>
      <c r="M249" s="6" t="inlineStr">
        <is>
          <t>Company Closed</t>
        </is>
      </c>
      <c r="N249" s="6" t="n">
        <v>5</v>
      </c>
      <c r="O249" s="6" t="n">
        <v>1</v>
      </c>
      <c r="P249" s="6" t="n">
        <v>36</v>
      </c>
      <c r="Q249" s="6" t="inlineStr">
        <is>
          <t>No</t>
        </is>
      </c>
      <c r="R249" s="6">
        <f>IF(K249="Yes",1,0)</f>
        <v/>
      </c>
      <c r="S249" s="6">
        <f>IF(K249="No",1,0)</f>
        <v/>
      </c>
      <c r="T249" s="6">
        <f>ROUND((IF(L249="",'Subscriptions'!$T$2,L249)-J249)/30.44,1)</f>
        <v/>
      </c>
      <c r="U249" s="6">
        <f>IF(AND(P249&lt;'Subscriptions'!$T$4,O249&lt;='Subscriptions'!$T$5),1,0)</f>
        <v/>
      </c>
    </row>
    <row r="250">
      <c r="A250" s="6" t="inlineStr">
        <is>
          <t>CUST-0249</t>
        </is>
      </c>
      <c r="B250" s="6" t="inlineStr">
        <is>
          <t>Professional</t>
        </is>
      </c>
      <c r="C250" s="6" t="inlineStr">
        <is>
          <t>Monthly</t>
        </is>
      </c>
      <c r="D250" s="6" t="inlineStr">
        <is>
          <t>Finance</t>
        </is>
      </c>
      <c r="E250" s="6" t="inlineStr">
        <is>
          <t>1-10</t>
        </is>
      </c>
      <c r="F250" s="6" t="n">
        <v>6</v>
      </c>
      <c r="G250" s="6" t="n">
        <v>138.25</v>
      </c>
      <c r="H250" s="6" t="inlineStr">
        <is>
          <t>Direct Sales</t>
        </is>
      </c>
      <c r="I250" s="6" t="inlineStr">
        <is>
          <t>North America</t>
        </is>
      </c>
      <c r="J250" s="7" t="n">
        <v>45765</v>
      </c>
      <c r="K250" s="6" t="inlineStr">
        <is>
          <t>Yes</t>
        </is>
      </c>
      <c r="L250" s="7" t="n">
        <v>45945</v>
      </c>
      <c r="M250" s="6" t="inlineStr">
        <is>
          <t>Poor Support</t>
        </is>
      </c>
      <c r="N250" s="6" t="n">
        <v>5</v>
      </c>
      <c r="O250" s="6" t="n">
        <v>3</v>
      </c>
      <c r="P250" s="6" t="n">
        <v>36</v>
      </c>
      <c r="Q250" s="6" t="inlineStr">
        <is>
          <t>No</t>
        </is>
      </c>
      <c r="R250" s="6">
        <f>IF(K250="Yes",1,0)</f>
        <v/>
      </c>
      <c r="S250" s="6">
        <f>IF(K250="No",1,0)</f>
        <v/>
      </c>
      <c r="T250" s="6">
        <f>ROUND((IF(L250="",'Subscriptions'!$T$2,L250)-J250)/30.44,1)</f>
        <v/>
      </c>
      <c r="U250" s="6">
        <f>IF(AND(P250&lt;'Subscriptions'!$T$4,O250&lt;='Subscriptions'!$T$5),1,0)</f>
        <v/>
      </c>
    </row>
    <row r="251">
      <c r="A251" s="6" t="inlineStr">
        <is>
          <t>CUST-0250</t>
        </is>
      </c>
      <c r="B251" s="6" t="inlineStr">
        <is>
          <t>Business</t>
        </is>
      </c>
      <c r="C251" s="6" t="inlineStr">
        <is>
          <t>Monthly</t>
        </is>
      </c>
      <c r="D251" s="6" t="inlineStr">
        <is>
          <t>Education</t>
        </is>
      </c>
      <c r="E251" s="6" t="inlineStr">
        <is>
          <t>1-10</t>
        </is>
      </c>
      <c r="F251" s="6" t="n">
        <v>1</v>
      </c>
      <c r="G251" s="6" t="n">
        <v>199</v>
      </c>
      <c r="H251" s="6" t="inlineStr">
        <is>
          <t>Referral</t>
        </is>
      </c>
      <c r="I251" s="6" t="inlineStr">
        <is>
          <t>North America</t>
        </is>
      </c>
      <c r="J251" s="7" t="n">
        <v>45944</v>
      </c>
      <c r="K251" s="6" t="inlineStr">
        <is>
          <t>No</t>
        </is>
      </c>
      <c r="L251" s="7" t="n"/>
      <c r="M251" s="6" t="n"/>
      <c r="N251" s="6" t="n">
        <v>1</v>
      </c>
      <c r="O251" s="6" t="n">
        <v>10</v>
      </c>
      <c r="P251" s="6" t="n">
        <v>69</v>
      </c>
      <c r="Q251" s="6" t="inlineStr">
        <is>
          <t>No</t>
        </is>
      </c>
      <c r="R251" s="6">
        <f>IF(K251="Yes",1,0)</f>
        <v/>
      </c>
      <c r="S251" s="6">
        <f>IF(K251="No",1,0)</f>
        <v/>
      </c>
      <c r="T251" s="6">
        <f>ROUND((IF(L251="",'Subscriptions'!$T$2,L251)-J251)/30.44,1)</f>
        <v/>
      </c>
      <c r="U251" s="6">
        <f>IF(AND(P251&lt;'Subscriptions'!$T$4,O251&lt;='Subscriptions'!$T$5),1,0)</f>
        <v/>
      </c>
    </row>
    <row r="252">
      <c r="A252" s="6" t="inlineStr">
        <is>
          <t>CUST-0251</t>
        </is>
      </c>
      <c r="B252" s="6" t="inlineStr">
        <is>
          <t>Starter</t>
        </is>
      </c>
      <c r="C252" s="6" t="inlineStr">
        <is>
          <t>Annual</t>
        </is>
      </c>
      <c r="D252" s="6" t="inlineStr">
        <is>
          <t>Legal</t>
        </is>
      </c>
      <c r="E252" s="6" t="inlineStr">
        <is>
          <t>11-50</t>
        </is>
      </c>
      <c r="F252" s="6" t="n">
        <v>31</v>
      </c>
      <c r="G252" s="6" t="n">
        <v>135.57</v>
      </c>
      <c r="H252" s="6" t="inlineStr">
        <is>
          <t>Partner</t>
        </is>
      </c>
      <c r="I252" s="6" t="inlineStr">
        <is>
          <t>Europe</t>
        </is>
      </c>
      <c r="J252" s="7" t="n">
        <v>44832</v>
      </c>
      <c r="K252" s="6" t="inlineStr">
        <is>
          <t>Yes</t>
        </is>
      </c>
      <c r="L252" s="7" t="n">
        <v>45669</v>
      </c>
      <c r="M252" s="6" t="inlineStr">
        <is>
          <t>Price Too High</t>
        </is>
      </c>
      <c r="N252" s="6" t="n">
        <v>0</v>
      </c>
      <c r="O252" s="6" t="n">
        <v>6</v>
      </c>
      <c r="P252" s="6" t="n">
        <v>40</v>
      </c>
      <c r="Q252" s="6" t="inlineStr">
        <is>
          <t>No</t>
        </is>
      </c>
      <c r="R252" s="6">
        <f>IF(K252="Yes",1,0)</f>
        <v/>
      </c>
      <c r="S252" s="6">
        <f>IF(K252="No",1,0)</f>
        <v/>
      </c>
      <c r="T252" s="6">
        <f>ROUND((IF(L252="",'Subscriptions'!$T$2,L252)-J252)/30.44,1)</f>
        <v/>
      </c>
      <c r="U252" s="6">
        <f>IF(AND(P252&lt;'Subscriptions'!$T$4,O252&lt;='Subscriptions'!$T$5),1,0)</f>
        <v/>
      </c>
    </row>
    <row r="253">
      <c r="A253" s="6" t="inlineStr">
        <is>
          <t>CUST-0252</t>
        </is>
      </c>
      <c r="B253" s="6" t="inlineStr">
        <is>
          <t>Business</t>
        </is>
      </c>
      <c r="C253" s="6" t="inlineStr">
        <is>
          <t>Annual</t>
        </is>
      </c>
      <c r="D253" s="6" t="inlineStr">
        <is>
          <t>Legal</t>
        </is>
      </c>
      <c r="E253" s="6" t="inlineStr">
        <is>
          <t>11-50</t>
        </is>
      </c>
      <c r="F253" s="6" t="n">
        <v>19</v>
      </c>
      <c r="G253" s="6" t="n">
        <v>625.86</v>
      </c>
      <c r="H253" s="6" t="inlineStr">
        <is>
          <t>Social Media</t>
        </is>
      </c>
      <c r="I253" s="6" t="inlineStr">
        <is>
          <t>North America</t>
        </is>
      </c>
      <c r="J253" s="7" t="n">
        <v>45424</v>
      </c>
      <c r="K253" s="6" t="inlineStr">
        <is>
          <t>Yes</t>
        </is>
      </c>
      <c r="L253" s="7" t="n">
        <v>45949</v>
      </c>
      <c r="M253" s="6" t="inlineStr">
        <is>
          <t>Poor Support</t>
        </is>
      </c>
      <c r="N253" s="6" t="n">
        <v>15</v>
      </c>
      <c r="O253" s="6" t="n">
        <v>2</v>
      </c>
      <c r="P253" s="6" t="n">
        <v>47</v>
      </c>
      <c r="Q253" s="6" t="inlineStr">
        <is>
          <t>No</t>
        </is>
      </c>
      <c r="R253" s="6">
        <f>IF(K253="Yes",1,0)</f>
        <v/>
      </c>
      <c r="S253" s="6">
        <f>IF(K253="No",1,0)</f>
        <v/>
      </c>
      <c r="T253" s="6">
        <f>ROUND((IF(L253="",'Subscriptions'!$T$2,L253)-J253)/30.44,1)</f>
        <v/>
      </c>
      <c r="U253" s="6">
        <f>IF(AND(P253&lt;'Subscriptions'!$T$4,O253&lt;='Subscriptions'!$T$5),1,0)</f>
        <v/>
      </c>
    </row>
    <row r="254">
      <c r="A254" s="6" t="inlineStr">
        <is>
          <t>CUST-0253</t>
        </is>
      </c>
      <c r="B254" s="6" t="inlineStr">
        <is>
          <t>Professional</t>
        </is>
      </c>
      <c r="C254" s="6" t="inlineStr">
        <is>
          <t>Monthly</t>
        </is>
      </c>
      <c r="D254" s="6" t="inlineStr">
        <is>
          <t>Legal</t>
        </is>
      </c>
      <c r="E254" s="6" t="inlineStr">
        <is>
          <t>11-50</t>
        </is>
      </c>
      <c r="F254" s="6" t="n">
        <v>32</v>
      </c>
      <c r="G254" s="6" t="n">
        <v>446.35</v>
      </c>
      <c r="H254" s="6" t="inlineStr">
        <is>
          <t>Organic Search</t>
        </is>
      </c>
      <c r="I254" s="6" t="inlineStr">
        <is>
          <t>North America</t>
        </is>
      </c>
      <c r="J254" s="7" t="n">
        <v>44894</v>
      </c>
      <c r="K254" s="6" t="inlineStr">
        <is>
          <t>Yes</t>
        </is>
      </c>
      <c r="L254" s="7" t="n">
        <v>45304</v>
      </c>
      <c r="M254" s="6" t="inlineStr">
        <is>
          <t>Company Closed</t>
        </is>
      </c>
      <c r="N254" s="6" t="n">
        <v>7</v>
      </c>
      <c r="O254" s="6" t="n">
        <v>1</v>
      </c>
      <c r="P254" s="6" t="n">
        <v>20</v>
      </c>
      <c r="Q254" s="6" t="inlineStr">
        <is>
          <t>No</t>
        </is>
      </c>
      <c r="R254" s="6">
        <f>IF(K254="Yes",1,0)</f>
        <v/>
      </c>
      <c r="S254" s="6">
        <f>IF(K254="No",1,0)</f>
        <v/>
      </c>
      <c r="T254" s="6">
        <f>ROUND((IF(L254="",'Subscriptions'!$T$2,L254)-J254)/30.44,1)</f>
        <v/>
      </c>
      <c r="U254" s="6">
        <f>IF(AND(P254&lt;'Subscriptions'!$T$4,O254&lt;='Subscriptions'!$T$5),1,0)</f>
        <v/>
      </c>
    </row>
    <row r="255">
      <c r="A255" s="6" t="inlineStr">
        <is>
          <t>CUST-0254</t>
        </is>
      </c>
      <c r="B255" s="6" t="inlineStr">
        <is>
          <t>Starter</t>
        </is>
      </c>
      <c r="C255" s="6" t="inlineStr">
        <is>
          <t>Annual</t>
        </is>
      </c>
      <c r="D255" s="6" t="inlineStr">
        <is>
          <t>Media</t>
        </is>
      </c>
      <c r="E255" s="6" t="inlineStr">
        <is>
          <t>11-50</t>
        </is>
      </c>
      <c r="F255" s="6" t="n">
        <v>12</v>
      </c>
      <c r="G255" s="6" t="n">
        <v>65.31999999999999</v>
      </c>
      <c r="H255" s="6" t="inlineStr">
        <is>
          <t>Organic Search</t>
        </is>
      </c>
      <c r="I255" s="6" t="inlineStr">
        <is>
          <t>Europe</t>
        </is>
      </c>
      <c r="J255" s="7" t="n">
        <v>45795</v>
      </c>
      <c r="K255" s="6" t="inlineStr">
        <is>
          <t>No</t>
        </is>
      </c>
      <c r="L255" s="7" t="n"/>
      <c r="M255" s="6" t="n"/>
      <c r="N255" s="6" t="n">
        <v>0</v>
      </c>
      <c r="O255" s="6" t="n">
        <v>9</v>
      </c>
      <c r="P255" s="6" t="n">
        <v>50</v>
      </c>
      <c r="Q255" s="6" t="inlineStr">
        <is>
          <t>Yes</t>
        </is>
      </c>
      <c r="R255" s="6">
        <f>IF(K255="Yes",1,0)</f>
        <v/>
      </c>
      <c r="S255" s="6">
        <f>IF(K255="No",1,0)</f>
        <v/>
      </c>
      <c r="T255" s="6">
        <f>ROUND((IF(L255="",'Subscriptions'!$T$2,L255)-J255)/30.44,1)</f>
        <v/>
      </c>
      <c r="U255" s="6">
        <f>IF(AND(P255&lt;'Subscriptions'!$T$4,O255&lt;='Subscriptions'!$T$5),1,0)</f>
        <v/>
      </c>
    </row>
    <row r="256">
      <c r="A256" s="6" t="inlineStr">
        <is>
          <t>CUST-0255</t>
        </is>
      </c>
      <c r="B256" s="6" t="inlineStr">
        <is>
          <t>Business</t>
        </is>
      </c>
      <c r="C256" s="6" t="inlineStr">
        <is>
          <t>Monthly</t>
        </is>
      </c>
      <c r="D256" s="6" t="inlineStr">
        <is>
          <t>Real Estate</t>
        </is>
      </c>
      <c r="E256" s="6" t="inlineStr">
        <is>
          <t>1-10</t>
        </is>
      </c>
      <c r="F256" s="6" t="n">
        <v>1</v>
      </c>
      <c r="G256" s="6" t="n">
        <v>199</v>
      </c>
      <c r="H256" s="6" t="inlineStr">
        <is>
          <t>Organic Search</t>
        </is>
      </c>
      <c r="I256" s="6" t="inlineStr">
        <is>
          <t>Europe</t>
        </is>
      </c>
      <c r="J256" s="7" t="n">
        <v>44645</v>
      </c>
      <c r="K256" s="6" t="inlineStr">
        <is>
          <t>Yes</t>
        </is>
      </c>
      <c r="L256" s="7" t="n">
        <v>44671</v>
      </c>
      <c r="M256" s="6" t="inlineStr">
        <is>
          <t>Budget Cuts</t>
        </is>
      </c>
      <c r="N256" s="6" t="n">
        <v>14</v>
      </c>
      <c r="O256" s="6" t="n">
        <v>5</v>
      </c>
      <c r="P256" s="6" t="n">
        <v>28</v>
      </c>
      <c r="Q256" s="6" t="inlineStr">
        <is>
          <t>No</t>
        </is>
      </c>
      <c r="R256" s="6">
        <f>IF(K256="Yes",1,0)</f>
        <v/>
      </c>
      <c r="S256" s="6">
        <f>IF(K256="No",1,0)</f>
        <v/>
      </c>
      <c r="T256" s="6">
        <f>ROUND((IF(L256="",'Subscriptions'!$T$2,L256)-J256)/30.44,1)</f>
        <v/>
      </c>
      <c r="U256" s="6">
        <f>IF(AND(P256&lt;'Subscriptions'!$T$4,O256&lt;='Subscriptions'!$T$5),1,0)</f>
        <v/>
      </c>
    </row>
    <row r="257">
      <c r="A257" s="6" t="inlineStr">
        <is>
          <t>CUST-0256</t>
        </is>
      </c>
      <c r="B257" s="6" t="inlineStr">
        <is>
          <t>Business</t>
        </is>
      </c>
      <c r="C257" s="6" t="inlineStr">
        <is>
          <t>Monthly</t>
        </is>
      </c>
      <c r="D257" s="6" t="inlineStr">
        <is>
          <t>Education</t>
        </is>
      </c>
      <c r="E257" s="6" t="inlineStr">
        <is>
          <t>11-50</t>
        </is>
      </c>
      <c r="F257" s="6" t="n">
        <v>7</v>
      </c>
      <c r="G257" s="6" t="n">
        <v>378.1</v>
      </c>
      <c r="H257" s="6" t="inlineStr">
        <is>
          <t>Organic Search</t>
        </is>
      </c>
      <c r="I257" s="6" t="inlineStr">
        <is>
          <t>North America</t>
        </is>
      </c>
      <c r="J257" s="7" t="n">
        <v>44992</v>
      </c>
      <c r="K257" s="6" t="inlineStr">
        <is>
          <t>No</t>
        </is>
      </c>
      <c r="L257" s="7" t="n"/>
      <c r="M257" s="6" t="n"/>
      <c r="N257" s="6" t="n">
        <v>10</v>
      </c>
      <c r="O257" s="6" t="n">
        <v>10</v>
      </c>
      <c r="P257" s="6" t="n">
        <v>58</v>
      </c>
      <c r="Q257" s="6" t="inlineStr">
        <is>
          <t>Yes</t>
        </is>
      </c>
      <c r="R257" s="6">
        <f>IF(K257="Yes",1,0)</f>
        <v/>
      </c>
      <c r="S257" s="6">
        <f>IF(K257="No",1,0)</f>
        <v/>
      </c>
      <c r="T257" s="6">
        <f>ROUND((IF(L257="",'Subscriptions'!$T$2,L257)-J257)/30.44,1)</f>
        <v/>
      </c>
      <c r="U257" s="6">
        <f>IF(AND(P257&lt;'Subscriptions'!$T$4,O257&lt;='Subscriptions'!$T$5),1,0)</f>
        <v/>
      </c>
    </row>
    <row r="258">
      <c r="A258" s="6" t="inlineStr">
        <is>
          <t>CUST-0257</t>
        </is>
      </c>
      <c r="B258" s="6" t="inlineStr">
        <is>
          <t>Starter</t>
        </is>
      </c>
      <c r="C258" s="6" t="inlineStr">
        <is>
          <t>Annual</t>
        </is>
      </c>
      <c r="D258" s="6" t="inlineStr">
        <is>
          <t>Retail</t>
        </is>
      </c>
      <c r="E258" s="6" t="inlineStr">
        <is>
          <t>500+</t>
        </is>
      </c>
      <c r="F258" s="6" t="n">
        <v>285</v>
      </c>
      <c r="G258" s="6" t="n">
        <v>1074.74</v>
      </c>
      <c r="H258" s="6" t="inlineStr">
        <is>
          <t>Social Media</t>
        </is>
      </c>
      <c r="I258" s="6" t="inlineStr">
        <is>
          <t>North America</t>
        </is>
      </c>
      <c r="J258" s="7" t="n">
        <v>45562</v>
      </c>
      <c r="K258" s="6" t="inlineStr">
        <is>
          <t>No</t>
        </is>
      </c>
      <c r="L258" s="7" t="n"/>
      <c r="M258" s="6" t="n"/>
      <c r="N258" s="6" t="n">
        <v>2</v>
      </c>
      <c r="O258" s="6" t="n">
        <v>9</v>
      </c>
      <c r="P258" s="6" t="n">
        <v>91</v>
      </c>
      <c r="Q258" s="6" t="inlineStr">
        <is>
          <t>Yes</t>
        </is>
      </c>
      <c r="R258" s="6">
        <f>IF(K258="Yes",1,0)</f>
        <v/>
      </c>
      <c r="S258" s="6">
        <f>IF(K258="No",1,0)</f>
        <v/>
      </c>
      <c r="T258" s="6">
        <f>ROUND((IF(L258="",'Subscriptions'!$T$2,L258)-J258)/30.44,1)</f>
        <v/>
      </c>
      <c r="U258" s="6">
        <f>IF(AND(P258&lt;'Subscriptions'!$T$4,O258&lt;='Subscriptions'!$T$5),1,0)</f>
        <v/>
      </c>
    </row>
    <row r="259">
      <c r="A259" s="6" t="inlineStr">
        <is>
          <t>CUST-0258</t>
        </is>
      </c>
      <c r="B259" s="6" t="inlineStr">
        <is>
          <t>Starter</t>
        </is>
      </c>
      <c r="C259" s="6" t="inlineStr">
        <is>
          <t>Annual</t>
        </is>
      </c>
      <c r="D259" s="6" t="inlineStr">
        <is>
          <t>Real Estate</t>
        </is>
      </c>
      <c r="E259" s="6" t="inlineStr">
        <is>
          <t>51-200</t>
        </is>
      </c>
      <c r="F259" s="6" t="n">
        <v>31</v>
      </c>
      <c r="G259" s="6" t="n">
        <v>135.57</v>
      </c>
      <c r="H259" s="6" t="inlineStr">
        <is>
          <t>Referral</t>
        </is>
      </c>
      <c r="I259" s="6" t="inlineStr">
        <is>
          <t>Europe</t>
        </is>
      </c>
      <c r="J259" s="7" t="n">
        <v>44670</v>
      </c>
      <c r="K259" s="6" t="inlineStr">
        <is>
          <t>Yes</t>
        </is>
      </c>
      <c r="L259" s="7" t="n">
        <v>45400</v>
      </c>
      <c r="M259" s="6" t="inlineStr">
        <is>
          <t>No Longer Needed</t>
        </is>
      </c>
      <c r="N259" s="6" t="n">
        <v>4</v>
      </c>
      <c r="O259" s="6" t="n">
        <v>5</v>
      </c>
      <c r="P259" s="6" t="n">
        <v>36</v>
      </c>
      <c r="Q259" s="6" t="inlineStr">
        <is>
          <t>No</t>
        </is>
      </c>
      <c r="R259" s="6">
        <f>IF(K259="Yes",1,0)</f>
        <v/>
      </c>
      <c r="S259" s="6">
        <f>IF(K259="No",1,0)</f>
        <v/>
      </c>
      <c r="T259" s="6">
        <f>ROUND((IF(L259="",'Subscriptions'!$T$2,L259)-J259)/30.44,1)</f>
        <v/>
      </c>
      <c r="U259" s="6">
        <f>IF(AND(P259&lt;'Subscriptions'!$T$4,O259&lt;='Subscriptions'!$T$5),1,0)</f>
        <v/>
      </c>
    </row>
    <row r="260">
      <c r="A260" s="6" t="inlineStr">
        <is>
          <t>CUST-0259</t>
        </is>
      </c>
      <c r="B260" s="6" t="inlineStr">
        <is>
          <t>Professional</t>
        </is>
      </c>
      <c r="C260" s="6" t="inlineStr">
        <is>
          <t>Annual</t>
        </is>
      </c>
      <c r="D260" s="6" t="inlineStr">
        <is>
          <t>Media</t>
        </is>
      </c>
      <c r="E260" s="6" t="inlineStr">
        <is>
          <t>201-500</t>
        </is>
      </c>
      <c r="F260" s="6" t="n">
        <v>143</v>
      </c>
      <c r="G260" s="6" t="n">
        <v>1497.45</v>
      </c>
      <c r="H260" s="6" t="inlineStr">
        <is>
          <t>Partner</t>
        </is>
      </c>
      <c r="I260" s="6" t="inlineStr">
        <is>
          <t>Asia Pacific</t>
        </is>
      </c>
      <c r="J260" s="7" t="n">
        <v>45840</v>
      </c>
      <c r="K260" s="6" t="inlineStr">
        <is>
          <t>No</t>
        </is>
      </c>
      <c r="L260" s="7" t="n"/>
      <c r="M260" s="6" t="n"/>
      <c r="N260" s="6" t="n">
        <v>3</v>
      </c>
      <c r="O260" s="6" t="n">
        <v>1</v>
      </c>
      <c r="P260" s="6" t="n">
        <v>84</v>
      </c>
      <c r="Q260" s="6" t="inlineStr">
        <is>
          <t>No</t>
        </is>
      </c>
      <c r="R260" s="6">
        <f>IF(K260="Yes",1,0)</f>
        <v/>
      </c>
      <c r="S260" s="6">
        <f>IF(K260="No",1,0)</f>
        <v/>
      </c>
      <c r="T260" s="6">
        <f>ROUND((IF(L260="",'Subscriptions'!$T$2,L260)-J260)/30.44,1)</f>
        <v/>
      </c>
      <c r="U260" s="6">
        <f>IF(AND(P260&lt;'Subscriptions'!$T$4,O260&lt;='Subscriptions'!$T$5),1,0)</f>
        <v/>
      </c>
    </row>
    <row r="261">
      <c r="A261" s="6" t="inlineStr">
        <is>
          <t>CUST-0260</t>
        </is>
      </c>
      <c r="B261" s="6" t="inlineStr">
        <is>
          <t>Professional</t>
        </is>
      </c>
      <c r="C261" s="6" t="inlineStr">
        <is>
          <t>Monthly</t>
        </is>
      </c>
      <c r="D261" s="6" t="inlineStr">
        <is>
          <t>Real Estate</t>
        </is>
      </c>
      <c r="E261" s="6" t="inlineStr">
        <is>
          <t>500+</t>
        </is>
      </c>
      <c r="F261" s="6" t="n">
        <v>193</v>
      </c>
      <c r="G261" s="6" t="n">
        <v>2354.2</v>
      </c>
      <c r="H261" s="6" t="inlineStr">
        <is>
          <t>Organic Search</t>
        </is>
      </c>
      <c r="I261" s="6" t="inlineStr">
        <is>
          <t>North America</t>
        </is>
      </c>
      <c r="J261" s="7" t="n">
        <v>45137</v>
      </c>
      <c r="K261" s="6" t="inlineStr">
        <is>
          <t>Yes</t>
        </is>
      </c>
      <c r="L261" s="7" t="n">
        <v>45693</v>
      </c>
      <c r="M261" s="6" t="inlineStr">
        <is>
          <t>Switched Competitor</t>
        </is>
      </c>
      <c r="N261" s="6" t="n">
        <v>3</v>
      </c>
      <c r="O261" s="6" t="n">
        <v>3</v>
      </c>
      <c r="P261" s="6" t="n">
        <v>39</v>
      </c>
      <c r="Q261" s="6" t="inlineStr">
        <is>
          <t>No</t>
        </is>
      </c>
      <c r="R261" s="6">
        <f>IF(K261="Yes",1,0)</f>
        <v/>
      </c>
      <c r="S261" s="6">
        <f>IF(K261="No",1,0)</f>
        <v/>
      </c>
      <c r="T261" s="6">
        <f>ROUND((IF(L261="",'Subscriptions'!$T$2,L261)-J261)/30.44,1)</f>
        <v/>
      </c>
      <c r="U261" s="6">
        <f>IF(AND(P261&lt;'Subscriptions'!$T$4,O261&lt;='Subscriptions'!$T$5),1,0)</f>
        <v/>
      </c>
    </row>
    <row r="262">
      <c r="A262" s="6" t="inlineStr">
        <is>
          <t>CUST-0261</t>
        </is>
      </c>
      <c r="B262" s="6" t="inlineStr">
        <is>
          <t>Professional</t>
        </is>
      </c>
      <c r="C262" s="6" t="inlineStr">
        <is>
          <t>Annual</t>
        </is>
      </c>
      <c r="D262" s="6" t="inlineStr">
        <is>
          <t>Legal</t>
        </is>
      </c>
      <c r="E262" s="6" t="inlineStr">
        <is>
          <t>1-10</t>
        </is>
      </c>
      <c r="F262" s="6" t="n">
        <v>5</v>
      </c>
      <c r="G262" s="6" t="n">
        <v>107.44</v>
      </c>
      <c r="H262" s="6" t="inlineStr">
        <is>
          <t>Organic Search</t>
        </is>
      </c>
      <c r="I262" s="6" t="inlineStr">
        <is>
          <t>North America</t>
        </is>
      </c>
      <c r="J262" s="7" t="n">
        <v>45543</v>
      </c>
      <c r="K262" s="6" t="inlineStr">
        <is>
          <t>No</t>
        </is>
      </c>
      <c r="L262" s="7" t="n"/>
      <c r="M262" s="6" t="n"/>
      <c r="N262" s="6" t="n">
        <v>1</v>
      </c>
      <c r="O262" s="6" t="n">
        <v>9</v>
      </c>
      <c r="P262" s="6" t="n">
        <v>95</v>
      </c>
      <c r="Q262" s="6" t="inlineStr">
        <is>
          <t>No</t>
        </is>
      </c>
      <c r="R262" s="6">
        <f>IF(K262="Yes",1,0)</f>
        <v/>
      </c>
      <c r="S262" s="6">
        <f>IF(K262="No",1,0)</f>
        <v/>
      </c>
      <c r="T262" s="6">
        <f>ROUND((IF(L262="",'Subscriptions'!$T$2,L262)-J262)/30.44,1)</f>
        <v/>
      </c>
      <c r="U262" s="6">
        <f>IF(AND(P262&lt;'Subscriptions'!$T$4,O262&lt;='Subscriptions'!$T$5),1,0)</f>
        <v/>
      </c>
    </row>
    <row r="263">
      <c r="A263" s="6" t="inlineStr">
        <is>
          <t>CUST-0262</t>
        </is>
      </c>
      <c r="B263" s="6" t="inlineStr">
        <is>
          <t>Business</t>
        </is>
      </c>
      <c r="C263" s="6" t="inlineStr">
        <is>
          <t>Monthly</t>
        </is>
      </c>
      <c r="D263" s="6" t="inlineStr">
        <is>
          <t>Manufacturing</t>
        </is>
      </c>
      <c r="E263" s="6" t="inlineStr">
        <is>
          <t>1-10</t>
        </is>
      </c>
      <c r="F263" s="6" t="n">
        <v>8</v>
      </c>
      <c r="G263" s="6" t="n">
        <v>407.95</v>
      </c>
      <c r="H263" s="6" t="inlineStr">
        <is>
          <t>Partner</t>
        </is>
      </c>
      <c r="I263" s="6" t="inlineStr">
        <is>
          <t>North America</t>
        </is>
      </c>
      <c r="J263" s="7" t="n">
        <v>45327</v>
      </c>
      <c r="K263" s="6" t="inlineStr">
        <is>
          <t>Yes</t>
        </is>
      </c>
      <c r="L263" s="7" t="n">
        <v>45791</v>
      </c>
      <c r="M263" s="6" t="inlineStr">
        <is>
          <t>Budget Cuts</t>
        </is>
      </c>
      <c r="N263" s="6" t="n">
        <v>14</v>
      </c>
      <c r="O263" s="6" t="n">
        <v>6</v>
      </c>
      <c r="P263" s="6" t="n">
        <v>19</v>
      </c>
      <c r="Q263" s="6" t="inlineStr">
        <is>
          <t>No</t>
        </is>
      </c>
      <c r="R263" s="6">
        <f>IF(K263="Yes",1,0)</f>
        <v/>
      </c>
      <c r="S263" s="6">
        <f>IF(K263="No",1,0)</f>
        <v/>
      </c>
      <c r="T263" s="6">
        <f>ROUND((IF(L263="",'Subscriptions'!$T$2,L263)-J263)/30.44,1)</f>
        <v/>
      </c>
      <c r="U263" s="6">
        <f>IF(AND(P263&lt;'Subscriptions'!$T$4,O263&lt;='Subscriptions'!$T$5),1,0)</f>
        <v/>
      </c>
    </row>
    <row r="264">
      <c r="A264" s="6" t="inlineStr">
        <is>
          <t>CUST-0263</t>
        </is>
      </c>
      <c r="B264" s="6" t="inlineStr">
        <is>
          <t>Business</t>
        </is>
      </c>
      <c r="C264" s="6" t="inlineStr">
        <is>
          <t>Annual</t>
        </is>
      </c>
      <c r="D264" s="6" t="inlineStr">
        <is>
          <t>Healthcare</t>
        </is>
      </c>
      <c r="E264" s="6" t="inlineStr">
        <is>
          <t>11-50</t>
        </is>
      </c>
      <c r="F264" s="6" t="n">
        <v>8</v>
      </c>
      <c r="G264" s="6" t="n">
        <v>346.76</v>
      </c>
      <c r="H264" s="6" t="inlineStr">
        <is>
          <t>Partner</t>
        </is>
      </c>
      <c r="I264" s="6" t="inlineStr">
        <is>
          <t>Europe</t>
        </is>
      </c>
      <c r="J264" s="7" t="n">
        <v>45877</v>
      </c>
      <c r="K264" s="6" t="inlineStr">
        <is>
          <t>No</t>
        </is>
      </c>
      <c r="L264" s="7" t="n"/>
      <c r="M264" s="6" t="n"/>
      <c r="N264" s="6" t="n">
        <v>3</v>
      </c>
      <c r="O264" s="6" t="n">
        <v>6</v>
      </c>
      <c r="P264" s="6" t="n">
        <v>43</v>
      </c>
      <c r="Q264" s="6" t="inlineStr">
        <is>
          <t>No</t>
        </is>
      </c>
      <c r="R264" s="6">
        <f>IF(K264="Yes",1,0)</f>
        <v/>
      </c>
      <c r="S264" s="6">
        <f>IF(K264="No",1,0)</f>
        <v/>
      </c>
      <c r="T264" s="6">
        <f>ROUND((IF(L264="",'Subscriptions'!$T$2,L264)-J264)/30.44,1)</f>
        <v/>
      </c>
      <c r="U264" s="6">
        <f>IF(AND(P264&lt;'Subscriptions'!$T$4,O264&lt;='Subscriptions'!$T$5),1,0)</f>
        <v/>
      </c>
    </row>
    <row r="265">
      <c r="A265" s="6" t="inlineStr">
        <is>
          <t>CUST-0264</t>
        </is>
      </c>
      <c r="B265" s="6" t="inlineStr">
        <is>
          <t>Starter</t>
        </is>
      </c>
      <c r="C265" s="6" t="inlineStr">
        <is>
          <t>Monthly</t>
        </is>
      </c>
      <c r="D265" s="6" t="inlineStr">
        <is>
          <t>Media</t>
        </is>
      </c>
      <c r="E265" s="6" t="inlineStr">
        <is>
          <t>51-200</t>
        </is>
      </c>
      <c r="F265" s="6" t="n">
        <v>52</v>
      </c>
      <c r="G265" s="6" t="n">
        <v>250.85</v>
      </c>
      <c r="H265" s="6" t="inlineStr">
        <is>
          <t>Organic Search</t>
        </is>
      </c>
      <c r="I265" s="6" t="inlineStr">
        <is>
          <t>North America</t>
        </is>
      </c>
      <c r="J265" s="7" t="n">
        <v>45702</v>
      </c>
      <c r="K265" s="6" t="inlineStr">
        <is>
          <t>No</t>
        </is>
      </c>
      <c r="L265" s="7" t="n"/>
      <c r="M265" s="6" t="n"/>
      <c r="N265" s="6" t="n">
        <v>2</v>
      </c>
      <c r="O265" s="6" t="n">
        <v>7</v>
      </c>
      <c r="P265" s="6" t="n">
        <v>42</v>
      </c>
      <c r="Q265" s="6" t="inlineStr">
        <is>
          <t>No</t>
        </is>
      </c>
      <c r="R265" s="6">
        <f>IF(K265="Yes",1,0)</f>
        <v/>
      </c>
      <c r="S265" s="6">
        <f>IF(K265="No",1,0)</f>
        <v/>
      </c>
      <c r="T265" s="6">
        <f>ROUND((IF(L265="",'Subscriptions'!$T$2,L265)-J265)/30.44,1)</f>
        <v/>
      </c>
      <c r="U265" s="6">
        <f>IF(AND(P265&lt;'Subscriptions'!$T$4,O265&lt;='Subscriptions'!$T$5),1,0)</f>
        <v/>
      </c>
    </row>
    <row r="266">
      <c r="A266" s="6" t="inlineStr">
        <is>
          <t>CUST-0265</t>
        </is>
      </c>
      <c r="B266" s="6" t="inlineStr">
        <is>
          <t>Professional</t>
        </is>
      </c>
      <c r="C266" s="6" t="inlineStr">
        <is>
          <t>Monthly</t>
        </is>
      </c>
      <c r="D266" s="6" t="inlineStr">
        <is>
          <t>Manufacturing</t>
        </is>
      </c>
      <c r="E266" s="6" t="inlineStr">
        <is>
          <t>51-200</t>
        </is>
      </c>
      <c r="F266" s="6" t="n">
        <v>45</v>
      </c>
      <c r="G266" s="6" t="n">
        <v>600.4</v>
      </c>
      <c r="H266" s="6" t="inlineStr">
        <is>
          <t>Paid Ads</t>
        </is>
      </c>
      <c r="I266" s="6" t="inlineStr">
        <is>
          <t>North America</t>
        </is>
      </c>
      <c r="J266" s="7" t="n">
        <v>45738</v>
      </c>
      <c r="K266" s="6" t="inlineStr">
        <is>
          <t>No</t>
        </is>
      </c>
      <c r="L266" s="7" t="n"/>
      <c r="M266" s="6" t="n"/>
      <c r="N266" s="6" t="n">
        <v>11</v>
      </c>
      <c r="O266" s="6" t="n">
        <v>1</v>
      </c>
      <c r="P266" s="6" t="n">
        <v>56</v>
      </c>
      <c r="Q266" s="6" t="inlineStr">
        <is>
          <t>No</t>
        </is>
      </c>
      <c r="R266" s="6">
        <f>IF(K266="Yes",1,0)</f>
        <v/>
      </c>
      <c r="S266" s="6">
        <f>IF(K266="No",1,0)</f>
        <v/>
      </c>
      <c r="T266" s="6">
        <f>ROUND((IF(L266="",'Subscriptions'!$T$2,L266)-J266)/30.44,1)</f>
        <v/>
      </c>
      <c r="U266" s="6">
        <f>IF(AND(P266&lt;'Subscriptions'!$T$4,O266&lt;='Subscriptions'!$T$5),1,0)</f>
        <v/>
      </c>
    </row>
    <row r="267">
      <c r="A267" s="6" t="inlineStr">
        <is>
          <t>CUST-0266</t>
        </is>
      </c>
      <c r="B267" s="6" t="inlineStr">
        <is>
          <t>Starter</t>
        </is>
      </c>
      <c r="C267" s="6" t="inlineStr">
        <is>
          <t>Annual</t>
        </is>
      </c>
      <c r="D267" s="6" t="inlineStr">
        <is>
          <t>Retail</t>
        </is>
      </c>
      <c r="E267" s="6" t="inlineStr">
        <is>
          <t>11-50</t>
        </is>
      </c>
      <c r="F267" s="6" t="n">
        <v>22</v>
      </c>
      <c r="G267" s="6" t="n">
        <v>102.3</v>
      </c>
      <c r="H267" s="6" t="inlineStr">
        <is>
          <t>Referral</t>
        </is>
      </c>
      <c r="I267" s="6" t="inlineStr">
        <is>
          <t>North America</t>
        </is>
      </c>
      <c r="J267" s="7" t="n">
        <v>44665</v>
      </c>
      <c r="K267" s="6" t="inlineStr">
        <is>
          <t>Yes</t>
        </is>
      </c>
      <c r="L267" s="7" t="n">
        <v>44750</v>
      </c>
      <c r="M267" s="6" t="inlineStr">
        <is>
          <t>Budget Cuts</t>
        </is>
      </c>
      <c r="N267" s="6" t="n">
        <v>5</v>
      </c>
      <c r="O267" s="6" t="n">
        <v>4</v>
      </c>
      <c r="P267" s="6" t="n">
        <v>20</v>
      </c>
      <c r="Q267" s="6" t="inlineStr">
        <is>
          <t>No</t>
        </is>
      </c>
      <c r="R267" s="6">
        <f>IF(K267="Yes",1,0)</f>
        <v/>
      </c>
      <c r="S267" s="6">
        <f>IF(K267="No",1,0)</f>
        <v/>
      </c>
      <c r="T267" s="6">
        <f>ROUND((IF(L267="",'Subscriptions'!$T$2,L267)-J267)/30.44,1)</f>
        <v/>
      </c>
      <c r="U267" s="6">
        <f>IF(AND(P267&lt;'Subscriptions'!$T$4,O267&lt;='Subscriptions'!$T$5),1,0)</f>
        <v/>
      </c>
    </row>
    <row r="268">
      <c r="A268" s="6" t="inlineStr">
        <is>
          <t>CUST-0267</t>
        </is>
      </c>
      <c r="B268" s="6" t="inlineStr">
        <is>
          <t>Enterprise</t>
        </is>
      </c>
      <c r="C268" s="6" t="inlineStr">
        <is>
          <t>Monthly</t>
        </is>
      </c>
      <c r="D268" s="6" t="inlineStr">
        <is>
          <t>Consulting</t>
        </is>
      </c>
      <c r="E268" s="6" t="inlineStr">
        <is>
          <t>1-10</t>
        </is>
      </c>
      <c r="F268" s="6" t="n">
        <v>3</v>
      </c>
      <c r="G268" s="6" t="n">
        <v>648.7</v>
      </c>
      <c r="H268" s="6" t="inlineStr">
        <is>
          <t>Paid Ads</t>
        </is>
      </c>
      <c r="I268" s="6" t="inlineStr">
        <is>
          <t>Asia Pacific</t>
        </is>
      </c>
      <c r="J268" s="7" t="n">
        <v>45053</v>
      </c>
      <c r="K268" s="6" t="inlineStr">
        <is>
          <t>No</t>
        </is>
      </c>
      <c r="L268" s="7" t="n"/>
      <c r="M268" s="6" t="n"/>
      <c r="N268" s="6" t="n">
        <v>3</v>
      </c>
      <c r="O268" s="6" t="n">
        <v>1</v>
      </c>
      <c r="P268" s="6" t="n">
        <v>41</v>
      </c>
      <c r="Q268" s="6" t="inlineStr">
        <is>
          <t>No</t>
        </is>
      </c>
      <c r="R268" s="6">
        <f>IF(K268="Yes",1,0)</f>
        <v/>
      </c>
      <c r="S268" s="6">
        <f>IF(K268="No",1,0)</f>
        <v/>
      </c>
      <c r="T268" s="6">
        <f>ROUND((IF(L268="",'Subscriptions'!$T$2,L268)-J268)/30.44,1)</f>
        <v/>
      </c>
      <c r="U268" s="6">
        <f>IF(AND(P268&lt;'Subscriptions'!$T$4,O268&lt;='Subscriptions'!$T$5),1,0)</f>
        <v/>
      </c>
    </row>
    <row r="269">
      <c r="A269" s="6" t="inlineStr">
        <is>
          <t>CUST-0268</t>
        </is>
      </c>
      <c r="B269" s="6" t="inlineStr">
        <is>
          <t>Professional</t>
        </is>
      </c>
      <c r="C269" s="6" t="inlineStr">
        <is>
          <t>Annual</t>
        </is>
      </c>
      <c r="D269" s="6" t="inlineStr">
        <is>
          <t>Retail</t>
        </is>
      </c>
      <c r="E269" s="6" t="inlineStr">
        <is>
          <t>201-500</t>
        </is>
      </c>
      <c r="F269" s="6" t="n">
        <v>49</v>
      </c>
      <c r="G269" s="6" t="n">
        <v>550.63</v>
      </c>
      <c r="H269" s="6" t="inlineStr">
        <is>
          <t>Organic Search</t>
        </is>
      </c>
      <c r="I269" s="6" t="inlineStr">
        <is>
          <t>North America</t>
        </is>
      </c>
      <c r="J269" s="7" t="n">
        <v>44830</v>
      </c>
      <c r="K269" s="6" t="inlineStr">
        <is>
          <t>No</t>
        </is>
      </c>
      <c r="L269" s="7" t="n"/>
      <c r="M269" s="6" t="n"/>
      <c r="N269" s="6" t="n">
        <v>12</v>
      </c>
      <c r="O269" s="6" t="n">
        <v>7</v>
      </c>
      <c r="P269" s="6" t="n">
        <v>46</v>
      </c>
      <c r="Q269" s="6" t="inlineStr">
        <is>
          <t>No</t>
        </is>
      </c>
      <c r="R269" s="6">
        <f>IF(K269="Yes",1,0)</f>
        <v/>
      </c>
      <c r="S269" s="6">
        <f>IF(K269="No",1,0)</f>
        <v/>
      </c>
      <c r="T269" s="6">
        <f>ROUND((IF(L269="",'Subscriptions'!$T$2,L269)-J269)/30.44,1)</f>
        <v/>
      </c>
      <c r="U269" s="6">
        <f>IF(AND(P269&lt;'Subscriptions'!$T$4,O269&lt;='Subscriptions'!$T$5),1,0)</f>
        <v/>
      </c>
    </row>
    <row r="270">
      <c r="A270" s="6" t="inlineStr">
        <is>
          <t>CUST-0269</t>
        </is>
      </c>
      <c r="B270" s="6" t="inlineStr">
        <is>
          <t>Professional</t>
        </is>
      </c>
      <c r="C270" s="6" t="inlineStr">
        <is>
          <t>Monthly</t>
        </is>
      </c>
      <c r="D270" s="6" t="inlineStr">
        <is>
          <t>Consulting</t>
        </is>
      </c>
      <c r="E270" s="6" t="inlineStr">
        <is>
          <t>1-10</t>
        </is>
      </c>
      <c r="F270" s="6" t="n">
        <v>3</v>
      </c>
      <c r="G270" s="6" t="n">
        <v>102.7</v>
      </c>
      <c r="H270" s="6" t="inlineStr">
        <is>
          <t>Social Media</t>
        </is>
      </c>
      <c r="I270" s="6" t="inlineStr">
        <is>
          <t>Asia Pacific</t>
        </is>
      </c>
      <c r="J270" s="7" t="n">
        <v>45750</v>
      </c>
      <c r="K270" s="6" t="inlineStr">
        <is>
          <t>Yes</t>
        </is>
      </c>
      <c r="L270" s="7" t="n">
        <v>46002</v>
      </c>
      <c r="M270" s="6" t="inlineStr">
        <is>
          <t>No Longer Needed</t>
        </is>
      </c>
      <c r="N270" s="6" t="n">
        <v>3</v>
      </c>
      <c r="O270" s="6" t="n">
        <v>2</v>
      </c>
      <c r="P270" s="6" t="n">
        <v>20</v>
      </c>
      <c r="Q270" s="6" t="inlineStr">
        <is>
          <t>No</t>
        </is>
      </c>
      <c r="R270" s="6">
        <f>IF(K270="Yes",1,0)</f>
        <v/>
      </c>
      <c r="S270" s="6">
        <f>IF(K270="No",1,0)</f>
        <v/>
      </c>
      <c r="T270" s="6">
        <f>ROUND((IF(L270="",'Subscriptions'!$T$2,L270)-J270)/30.44,1)</f>
        <v/>
      </c>
      <c r="U270" s="6">
        <f>IF(AND(P270&lt;'Subscriptions'!$T$4,O270&lt;='Subscriptions'!$T$5),1,0)</f>
        <v/>
      </c>
    </row>
    <row r="271">
      <c r="A271" s="6" t="inlineStr">
        <is>
          <t>CUST-0270</t>
        </is>
      </c>
      <c r="B271" s="6" t="inlineStr">
        <is>
          <t>Professional</t>
        </is>
      </c>
      <c r="C271" s="6" t="inlineStr">
        <is>
          <t>Monthly</t>
        </is>
      </c>
      <c r="D271" s="6" t="inlineStr">
        <is>
          <t>Media</t>
        </is>
      </c>
      <c r="E271" s="6" t="inlineStr">
        <is>
          <t>51-200</t>
        </is>
      </c>
      <c r="F271" s="6" t="n">
        <v>66</v>
      </c>
      <c r="G271" s="6" t="n">
        <v>849.25</v>
      </c>
      <c r="H271" s="6" t="inlineStr">
        <is>
          <t>Referral</t>
        </is>
      </c>
      <c r="I271" s="6" t="inlineStr">
        <is>
          <t>North America</t>
        </is>
      </c>
      <c r="J271" s="7" t="n">
        <v>44982</v>
      </c>
      <c r="K271" s="6" t="inlineStr">
        <is>
          <t>Yes</t>
        </is>
      </c>
      <c r="L271" s="7" t="n">
        <v>45872</v>
      </c>
      <c r="M271" s="6" t="inlineStr">
        <is>
          <t>Price Too High</t>
        </is>
      </c>
      <c r="N271" s="6" t="n">
        <v>6</v>
      </c>
      <c r="O271" s="6" t="n">
        <v>2</v>
      </c>
      <c r="P271" s="6" t="n">
        <v>37</v>
      </c>
      <c r="Q271" s="6" t="inlineStr">
        <is>
          <t>No</t>
        </is>
      </c>
      <c r="R271" s="6">
        <f>IF(K271="Yes",1,0)</f>
        <v/>
      </c>
      <c r="S271" s="6">
        <f>IF(K271="No",1,0)</f>
        <v/>
      </c>
      <c r="T271" s="6">
        <f>ROUND((IF(L271="",'Subscriptions'!$T$2,L271)-J271)/30.44,1)</f>
        <v/>
      </c>
      <c r="U271" s="6">
        <f>IF(AND(P271&lt;'Subscriptions'!$T$4,O271&lt;='Subscriptions'!$T$5),1,0)</f>
        <v/>
      </c>
    </row>
    <row r="272">
      <c r="A272" s="6" t="inlineStr">
        <is>
          <t>CUST-0271</t>
        </is>
      </c>
      <c r="B272" s="6" t="inlineStr">
        <is>
          <t>Professional</t>
        </is>
      </c>
      <c r="C272" s="6" t="inlineStr">
        <is>
          <t>Monthly</t>
        </is>
      </c>
      <c r="D272" s="6" t="inlineStr">
        <is>
          <t>Technology</t>
        </is>
      </c>
      <c r="E272" s="6" t="inlineStr">
        <is>
          <t>11-50</t>
        </is>
      </c>
      <c r="F272" s="6" t="n">
        <v>13</v>
      </c>
      <c r="G272" s="6" t="n">
        <v>221.2</v>
      </c>
      <c r="H272" s="6" t="inlineStr">
        <is>
          <t>Organic Search</t>
        </is>
      </c>
      <c r="I272" s="6" t="inlineStr">
        <is>
          <t>North America</t>
        </is>
      </c>
      <c r="J272" s="7" t="n">
        <v>45712</v>
      </c>
      <c r="K272" s="6" t="inlineStr">
        <is>
          <t>Yes</t>
        </is>
      </c>
      <c r="L272" s="7" t="n">
        <v>45721</v>
      </c>
      <c r="M272" s="6" t="inlineStr">
        <is>
          <t>Company Closed</t>
        </is>
      </c>
      <c r="N272" s="6" t="n">
        <v>6</v>
      </c>
      <c r="O272" s="6" t="n">
        <v>4</v>
      </c>
      <c r="P272" s="6" t="n">
        <v>19</v>
      </c>
      <c r="Q272" s="6" t="inlineStr">
        <is>
          <t>No</t>
        </is>
      </c>
      <c r="R272" s="6">
        <f>IF(K272="Yes",1,0)</f>
        <v/>
      </c>
      <c r="S272" s="6">
        <f>IF(K272="No",1,0)</f>
        <v/>
      </c>
      <c r="T272" s="6">
        <f>ROUND((IF(L272="",'Subscriptions'!$T$2,L272)-J272)/30.44,1)</f>
        <v/>
      </c>
      <c r="U272" s="6">
        <f>IF(AND(P272&lt;'Subscriptions'!$T$4,O272&lt;='Subscriptions'!$T$5),1,0)</f>
        <v/>
      </c>
    </row>
    <row r="273">
      <c r="A273" s="6" t="inlineStr">
        <is>
          <t>CUST-0272</t>
        </is>
      </c>
      <c r="B273" s="6" t="inlineStr">
        <is>
          <t>Starter</t>
        </is>
      </c>
      <c r="C273" s="6" t="inlineStr">
        <is>
          <t>Monthly</t>
        </is>
      </c>
      <c r="D273" s="6" t="inlineStr">
        <is>
          <t>Legal</t>
        </is>
      </c>
      <c r="E273" s="6" t="inlineStr">
        <is>
          <t>201-500</t>
        </is>
      </c>
      <c r="F273" s="6" t="n">
        <v>103</v>
      </c>
      <c r="G273" s="6" t="n">
        <v>472.7</v>
      </c>
      <c r="H273" s="6" t="inlineStr">
        <is>
          <t>Partner</t>
        </is>
      </c>
      <c r="I273" s="6" t="inlineStr">
        <is>
          <t>Europe</t>
        </is>
      </c>
      <c r="J273" s="7" t="n">
        <v>45343</v>
      </c>
      <c r="K273" s="6" t="inlineStr">
        <is>
          <t>Yes</t>
        </is>
      </c>
      <c r="L273" s="7" t="n">
        <v>45439</v>
      </c>
      <c r="M273" s="6" t="inlineStr">
        <is>
          <t>Budget Cuts</t>
        </is>
      </c>
      <c r="N273" s="6" t="n">
        <v>11</v>
      </c>
      <c r="O273" s="6" t="n">
        <v>1</v>
      </c>
      <c r="P273" s="6" t="n">
        <v>14</v>
      </c>
      <c r="Q273" s="6" t="inlineStr">
        <is>
          <t>No</t>
        </is>
      </c>
      <c r="R273" s="6">
        <f>IF(K273="Yes",1,0)</f>
        <v/>
      </c>
      <c r="S273" s="6">
        <f>IF(K273="No",1,0)</f>
        <v/>
      </c>
      <c r="T273" s="6">
        <f>ROUND((IF(L273="",'Subscriptions'!$T$2,L273)-J273)/30.44,1)</f>
        <v/>
      </c>
      <c r="U273" s="6">
        <f>IF(AND(P273&lt;'Subscriptions'!$T$4,O273&lt;='Subscriptions'!$T$5),1,0)</f>
        <v/>
      </c>
    </row>
    <row r="274">
      <c r="A274" s="6" t="inlineStr">
        <is>
          <t>CUST-0273</t>
        </is>
      </c>
      <c r="B274" s="6" t="inlineStr">
        <is>
          <t>Professional</t>
        </is>
      </c>
      <c r="C274" s="6" t="inlineStr">
        <is>
          <t>Annual</t>
        </is>
      </c>
      <c r="D274" s="6" t="inlineStr">
        <is>
          <t>Manufacturing</t>
        </is>
      </c>
      <c r="E274" s="6" t="inlineStr">
        <is>
          <t>1-10</t>
        </is>
      </c>
      <c r="F274" s="6" t="n">
        <v>6</v>
      </c>
      <c r="G274" s="6" t="n">
        <v>117.51</v>
      </c>
      <c r="H274" s="6" t="inlineStr">
        <is>
          <t>Organic Search</t>
        </is>
      </c>
      <c r="I274" s="6" t="inlineStr">
        <is>
          <t>Latin America</t>
        </is>
      </c>
      <c r="J274" s="7" t="n">
        <v>46022</v>
      </c>
      <c r="K274" s="6" t="inlineStr">
        <is>
          <t>No</t>
        </is>
      </c>
      <c r="L274" s="7" t="n"/>
      <c r="M274" s="6" t="n"/>
      <c r="N274" s="6" t="n">
        <v>2</v>
      </c>
      <c r="O274" s="6" t="n">
        <v>9</v>
      </c>
      <c r="P274" s="6" t="n">
        <v>20</v>
      </c>
      <c r="Q274" s="6" t="inlineStr">
        <is>
          <t>No</t>
        </is>
      </c>
      <c r="R274" s="6">
        <f>IF(K274="Yes",1,0)</f>
        <v/>
      </c>
      <c r="S274" s="6">
        <f>IF(K274="No",1,0)</f>
        <v/>
      </c>
      <c r="T274" s="6">
        <f>ROUND((IF(L274="",'Subscriptions'!$T$2,L274)-J274)/30.44,1)</f>
        <v/>
      </c>
      <c r="U274" s="6">
        <f>IF(AND(P274&lt;'Subscriptions'!$T$4,O274&lt;='Subscriptions'!$T$5),1,0)</f>
        <v/>
      </c>
    </row>
    <row r="275">
      <c r="A275" s="6" t="inlineStr">
        <is>
          <t>CUST-0274</t>
        </is>
      </c>
      <c r="B275" s="6" t="inlineStr">
        <is>
          <t>Professional</t>
        </is>
      </c>
      <c r="C275" s="6" t="inlineStr">
        <is>
          <t>Annual</t>
        </is>
      </c>
      <c r="D275" s="6" t="inlineStr">
        <is>
          <t>Finance</t>
        </is>
      </c>
      <c r="E275" s="6" t="inlineStr">
        <is>
          <t>51-200</t>
        </is>
      </c>
      <c r="F275" s="6" t="n">
        <v>41</v>
      </c>
      <c r="G275" s="6" t="n">
        <v>470.05</v>
      </c>
      <c r="H275" s="6" t="inlineStr">
        <is>
          <t>Partner</t>
        </is>
      </c>
      <c r="I275" s="6" t="inlineStr">
        <is>
          <t>Europe</t>
        </is>
      </c>
      <c r="J275" s="7" t="n">
        <v>45882</v>
      </c>
      <c r="K275" s="6" t="inlineStr">
        <is>
          <t>No</t>
        </is>
      </c>
      <c r="L275" s="7" t="n"/>
      <c r="M275" s="6" t="n"/>
      <c r="N275" s="6" t="n">
        <v>2</v>
      </c>
      <c r="O275" s="6" t="n">
        <v>8</v>
      </c>
      <c r="P275" s="6" t="n">
        <v>37</v>
      </c>
      <c r="Q275" s="6" t="inlineStr">
        <is>
          <t>No</t>
        </is>
      </c>
      <c r="R275" s="6">
        <f>IF(K275="Yes",1,0)</f>
        <v/>
      </c>
      <c r="S275" s="6">
        <f>IF(K275="No",1,0)</f>
        <v/>
      </c>
      <c r="T275" s="6">
        <f>ROUND((IF(L275="",'Subscriptions'!$T$2,L275)-J275)/30.44,1)</f>
        <v/>
      </c>
      <c r="U275" s="6">
        <f>IF(AND(P275&lt;'Subscriptions'!$T$4,O275&lt;='Subscriptions'!$T$5),1,0)</f>
        <v/>
      </c>
    </row>
    <row r="276">
      <c r="A276" s="6" t="inlineStr">
        <is>
          <t>CUST-0275</t>
        </is>
      </c>
      <c r="B276" s="6" t="inlineStr">
        <is>
          <t>Business</t>
        </is>
      </c>
      <c r="C276" s="6" t="inlineStr">
        <is>
          <t>Monthly</t>
        </is>
      </c>
      <c r="D276" s="6" t="inlineStr">
        <is>
          <t>Education</t>
        </is>
      </c>
      <c r="E276" s="6" t="inlineStr">
        <is>
          <t>1-10</t>
        </is>
      </c>
      <c r="F276" s="6" t="n">
        <v>6</v>
      </c>
      <c r="G276" s="6" t="n">
        <v>348.25</v>
      </c>
      <c r="H276" s="6" t="inlineStr">
        <is>
          <t>Organic Search</t>
        </is>
      </c>
      <c r="I276" s="6" t="inlineStr">
        <is>
          <t>Latin America</t>
        </is>
      </c>
      <c r="J276" s="7" t="n">
        <v>45566</v>
      </c>
      <c r="K276" s="6" t="inlineStr">
        <is>
          <t>No</t>
        </is>
      </c>
      <c r="L276" s="7" t="n"/>
      <c r="M276" s="6" t="n"/>
      <c r="N276" s="6" t="n">
        <v>7</v>
      </c>
      <c r="O276" s="6" t="n">
        <v>7</v>
      </c>
      <c r="P276" s="6" t="n">
        <v>30</v>
      </c>
      <c r="Q276" s="6" t="inlineStr">
        <is>
          <t>No</t>
        </is>
      </c>
      <c r="R276" s="6">
        <f>IF(K276="Yes",1,0)</f>
        <v/>
      </c>
      <c r="S276" s="6">
        <f>IF(K276="No",1,0)</f>
        <v/>
      </c>
      <c r="T276" s="6">
        <f>ROUND((IF(L276="",'Subscriptions'!$T$2,L276)-J276)/30.44,1)</f>
        <v/>
      </c>
      <c r="U276" s="6">
        <f>IF(AND(P276&lt;'Subscriptions'!$T$4,O276&lt;='Subscriptions'!$T$5),1,0)</f>
        <v/>
      </c>
    </row>
    <row r="277">
      <c r="A277" s="6" t="inlineStr">
        <is>
          <t>CUST-0276</t>
        </is>
      </c>
      <c r="B277" s="6" t="inlineStr">
        <is>
          <t>Starter</t>
        </is>
      </c>
      <c r="C277" s="6" t="inlineStr">
        <is>
          <t>Monthly</t>
        </is>
      </c>
      <c r="D277" s="6" t="inlineStr">
        <is>
          <t>Legal</t>
        </is>
      </c>
      <c r="E277" s="6" t="inlineStr">
        <is>
          <t>201-500</t>
        </is>
      </c>
      <c r="F277" s="6" t="n">
        <v>50</v>
      </c>
      <c r="G277" s="6" t="n">
        <v>242.15</v>
      </c>
      <c r="H277" s="6" t="inlineStr">
        <is>
          <t>Referral</t>
        </is>
      </c>
      <c r="I277" s="6" t="inlineStr">
        <is>
          <t>Asia Pacific</t>
        </is>
      </c>
      <c r="J277" s="7" t="n">
        <v>45319</v>
      </c>
      <c r="K277" s="6" t="inlineStr">
        <is>
          <t>No</t>
        </is>
      </c>
      <c r="L277" s="7" t="n"/>
      <c r="M277" s="6" t="n"/>
      <c r="N277" s="6" t="n">
        <v>0</v>
      </c>
      <c r="O277" s="6" t="n">
        <v>3</v>
      </c>
      <c r="P277" s="6" t="n">
        <v>40</v>
      </c>
      <c r="Q277" s="6" t="inlineStr">
        <is>
          <t>Yes</t>
        </is>
      </c>
      <c r="R277" s="6">
        <f>IF(K277="Yes",1,0)</f>
        <v/>
      </c>
      <c r="S277" s="6">
        <f>IF(K277="No",1,0)</f>
        <v/>
      </c>
      <c r="T277" s="6">
        <f>ROUND((IF(L277="",'Subscriptions'!$T$2,L277)-J277)/30.44,1)</f>
        <v/>
      </c>
      <c r="U277" s="6">
        <f>IF(AND(P277&lt;'Subscriptions'!$T$4,O277&lt;='Subscriptions'!$T$5),1,0)</f>
        <v/>
      </c>
    </row>
    <row r="278">
      <c r="A278" s="6" t="inlineStr">
        <is>
          <t>CUST-0277</t>
        </is>
      </c>
      <c r="B278" s="6" t="inlineStr">
        <is>
          <t>Enterprise</t>
        </is>
      </c>
      <c r="C278" s="6" t="inlineStr">
        <is>
          <t>Monthly</t>
        </is>
      </c>
      <c r="D278" s="6" t="inlineStr">
        <is>
          <t>Education</t>
        </is>
      </c>
      <c r="E278" s="6" t="inlineStr">
        <is>
          <t>11-50</t>
        </is>
      </c>
      <c r="F278" s="6" t="n">
        <v>31</v>
      </c>
      <c r="G278" s="6" t="n">
        <v>2744.5</v>
      </c>
      <c r="H278" s="6" t="inlineStr">
        <is>
          <t>Referral</t>
        </is>
      </c>
      <c r="I278" s="6" t="inlineStr">
        <is>
          <t>Europe</t>
        </is>
      </c>
      <c r="J278" s="7" t="n">
        <v>44959</v>
      </c>
      <c r="K278" s="6" t="inlineStr">
        <is>
          <t>Yes</t>
        </is>
      </c>
      <c r="L278" s="7" t="n">
        <v>45053</v>
      </c>
      <c r="M278" s="6" t="inlineStr">
        <is>
          <t>Switched Competitor</t>
        </is>
      </c>
      <c r="N278" s="6" t="n">
        <v>3</v>
      </c>
      <c r="O278" s="6" t="n">
        <v>1</v>
      </c>
      <c r="P278" s="6" t="n">
        <v>12</v>
      </c>
      <c r="Q278" s="6" t="inlineStr">
        <is>
          <t>No</t>
        </is>
      </c>
      <c r="R278" s="6">
        <f>IF(K278="Yes",1,0)</f>
        <v/>
      </c>
      <c r="S278" s="6">
        <f>IF(K278="No",1,0)</f>
        <v/>
      </c>
      <c r="T278" s="6">
        <f>ROUND((IF(L278="",'Subscriptions'!$T$2,L278)-J278)/30.44,1)</f>
        <v/>
      </c>
      <c r="U278" s="6">
        <f>IF(AND(P278&lt;'Subscriptions'!$T$4,O278&lt;='Subscriptions'!$T$5),1,0)</f>
        <v/>
      </c>
    </row>
    <row r="279">
      <c r="A279" s="6" t="inlineStr">
        <is>
          <t>CUST-0278</t>
        </is>
      </c>
      <c r="B279" s="6" t="inlineStr">
        <is>
          <t>Business</t>
        </is>
      </c>
      <c r="C279" s="6" t="inlineStr">
        <is>
          <t>Monthly</t>
        </is>
      </c>
      <c r="D279" s="6" t="inlineStr">
        <is>
          <t>Finance</t>
        </is>
      </c>
      <c r="E279" s="6" t="inlineStr">
        <is>
          <t>51-200</t>
        </is>
      </c>
      <c r="F279" s="6" t="n">
        <v>48</v>
      </c>
      <c r="G279" s="6" t="n">
        <v>1601.95</v>
      </c>
      <c r="H279" s="6" t="inlineStr">
        <is>
          <t>Organic Search</t>
        </is>
      </c>
      <c r="I279" s="6" t="inlineStr">
        <is>
          <t>Europe</t>
        </is>
      </c>
      <c r="J279" s="7" t="n">
        <v>45947</v>
      </c>
      <c r="K279" s="6" t="inlineStr">
        <is>
          <t>No</t>
        </is>
      </c>
      <c r="L279" s="7" t="n"/>
      <c r="M279" s="6" t="n"/>
      <c r="N279" s="6" t="n">
        <v>7</v>
      </c>
      <c r="O279" s="6" t="n">
        <v>4</v>
      </c>
      <c r="P279" s="6" t="n">
        <v>52</v>
      </c>
      <c r="Q279" s="6" t="inlineStr">
        <is>
          <t>No</t>
        </is>
      </c>
      <c r="R279" s="6">
        <f>IF(K279="Yes",1,0)</f>
        <v/>
      </c>
      <c r="S279" s="6">
        <f>IF(K279="No",1,0)</f>
        <v/>
      </c>
      <c r="T279" s="6">
        <f>ROUND((IF(L279="",'Subscriptions'!$T$2,L279)-J279)/30.44,1)</f>
        <v/>
      </c>
      <c r="U279" s="6">
        <f>IF(AND(P279&lt;'Subscriptions'!$T$4,O279&lt;='Subscriptions'!$T$5),1,0)</f>
        <v/>
      </c>
    </row>
    <row r="280">
      <c r="A280" s="6" t="inlineStr">
        <is>
          <t>CUST-0279</t>
        </is>
      </c>
      <c r="B280" s="6" t="inlineStr">
        <is>
          <t>Starter</t>
        </is>
      </c>
      <c r="C280" s="6" t="inlineStr">
        <is>
          <t>Monthly</t>
        </is>
      </c>
      <c r="D280" s="6" t="inlineStr">
        <is>
          <t>Finance</t>
        </is>
      </c>
      <c r="E280" s="6" t="inlineStr">
        <is>
          <t>1-10</t>
        </is>
      </c>
      <c r="F280" s="6" t="n">
        <v>7</v>
      </c>
      <c r="G280" s="6" t="n">
        <v>55.1</v>
      </c>
      <c r="H280" s="6" t="inlineStr">
        <is>
          <t>Organic Search</t>
        </is>
      </c>
      <c r="I280" s="6" t="inlineStr">
        <is>
          <t>North America</t>
        </is>
      </c>
      <c r="J280" s="7" t="n">
        <v>45909</v>
      </c>
      <c r="K280" s="6" t="inlineStr">
        <is>
          <t>No</t>
        </is>
      </c>
      <c r="L280" s="7" t="n"/>
      <c r="M280" s="6" t="n"/>
      <c r="N280" s="6" t="n">
        <v>4</v>
      </c>
      <c r="O280" s="6" t="n">
        <v>3</v>
      </c>
      <c r="P280" s="6" t="n">
        <v>93</v>
      </c>
      <c r="Q280" s="6" t="inlineStr">
        <is>
          <t>No</t>
        </is>
      </c>
      <c r="R280" s="6">
        <f>IF(K280="Yes",1,0)</f>
        <v/>
      </c>
      <c r="S280" s="6">
        <f>IF(K280="No",1,0)</f>
        <v/>
      </c>
      <c r="T280" s="6">
        <f>ROUND((IF(L280="",'Subscriptions'!$T$2,L280)-J280)/30.44,1)</f>
        <v/>
      </c>
      <c r="U280" s="6">
        <f>IF(AND(P280&lt;'Subscriptions'!$T$4,O280&lt;='Subscriptions'!$T$5),1,0)</f>
        <v/>
      </c>
    </row>
    <row r="281">
      <c r="A281" s="6" t="inlineStr">
        <is>
          <t>CUST-0280</t>
        </is>
      </c>
      <c r="B281" s="6" t="inlineStr">
        <is>
          <t>Starter</t>
        </is>
      </c>
      <c r="C281" s="6" t="inlineStr">
        <is>
          <t>Monthly</t>
        </is>
      </c>
      <c r="D281" s="6" t="inlineStr">
        <is>
          <t>Healthcare</t>
        </is>
      </c>
      <c r="E281" s="6" t="inlineStr">
        <is>
          <t>1-10</t>
        </is>
      </c>
      <c r="F281" s="6" t="n">
        <v>3</v>
      </c>
      <c r="G281" s="6" t="n">
        <v>37.7</v>
      </c>
      <c r="H281" s="6" t="inlineStr">
        <is>
          <t>Direct Sales</t>
        </is>
      </c>
      <c r="I281" s="6" t="inlineStr">
        <is>
          <t>Europe</t>
        </is>
      </c>
      <c r="J281" s="7" t="n">
        <v>45778</v>
      </c>
      <c r="K281" s="6" t="inlineStr">
        <is>
          <t>No</t>
        </is>
      </c>
      <c r="L281" s="7" t="n"/>
      <c r="M281" s="6" t="n"/>
      <c r="N281" s="6" t="n">
        <v>2</v>
      </c>
      <c r="O281" s="6" t="n">
        <v>6</v>
      </c>
      <c r="P281" s="6" t="n">
        <v>66</v>
      </c>
      <c r="Q281" s="6" t="inlineStr">
        <is>
          <t>No</t>
        </is>
      </c>
      <c r="R281" s="6">
        <f>IF(K281="Yes",1,0)</f>
        <v/>
      </c>
      <c r="S281" s="6">
        <f>IF(K281="No",1,0)</f>
        <v/>
      </c>
      <c r="T281" s="6">
        <f>ROUND((IF(L281="",'Subscriptions'!$T$2,L281)-J281)/30.44,1)</f>
        <v/>
      </c>
      <c r="U281" s="6">
        <f>IF(AND(P281&lt;'Subscriptions'!$T$4,O281&lt;='Subscriptions'!$T$5),1,0)</f>
        <v/>
      </c>
    </row>
    <row r="282">
      <c r="A282" s="6" t="inlineStr">
        <is>
          <t>CUST-0281</t>
        </is>
      </c>
      <c r="B282" s="6" t="inlineStr">
        <is>
          <t>Business</t>
        </is>
      </c>
      <c r="C282" s="6" t="inlineStr">
        <is>
          <t>Annual</t>
        </is>
      </c>
      <c r="D282" s="6" t="inlineStr">
        <is>
          <t>Legal</t>
        </is>
      </c>
      <c r="E282" s="6" t="inlineStr">
        <is>
          <t>11-50</t>
        </is>
      </c>
      <c r="F282" s="6" t="n">
        <v>25</v>
      </c>
      <c r="G282" s="6" t="n">
        <v>778.09</v>
      </c>
      <c r="H282" s="6" t="inlineStr">
        <is>
          <t>Partner</t>
        </is>
      </c>
      <c r="I282" s="6" t="inlineStr">
        <is>
          <t>North America</t>
        </is>
      </c>
      <c r="J282" s="7" t="n">
        <v>45819</v>
      </c>
      <c r="K282" s="6" t="inlineStr">
        <is>
          <t>No</t>
        </is>
      </c>
      <c r="L282" s="7" t="n"/>
      <c r="M282" s="6" t="n"/>
      <c r="N282" s="6" t="n">
        <v>4</v>
      </c>
      <c r="O282" s="6" t="n">
        <v>3</v>
      </c>
      <c r="P282" s="6" t="n">
        <v>90</v>
      </c>
      <c r="Q282" s="6" t="inlineStr">
        <is>
          <t>No</t>
        </is>
      </c>
      <c r="R282" s="6">
        <f>IF(K282="Yes",1,0)</f>
        <v/>
      </c>
      <c r="S282" s="6">
        <f>IF(K282="No",1,0)</f>
        <v/>
      </c>
      <c r="T282" s="6">
        <f>ROUND((IF(L282="",'Subscriptions'!$T$2,L282)-J282)/30.44,1)</f>
        <v/>
      </c>
      <c r="U282" s="6">
        <f>IF(AND(P282&lt;'Subscriptions'!$T$4,O282&lt;='Subscriptions'!$T$5),1,0)</f>
        <v/>
      </c>
    </row>
    <row r="283">
      <c r="A283" s="6" t="inlineStr">
        <is>
          <t>CUST-0282</t>
        </is>
      </c>
      <c r="B283" s="6" t="inlineStr">
        <is>
          <t>Professional</t>
        </is>
      </c>
      <c r="C283" s="6" t="inlineStr">
        <is>
          <t>Monthly</t>
        </is>
      </c>
      <c r="D283" s="6" t="inlineStr">
        <is>
          <t>Finance</t>
        </is>
      </c>
      <c r="E283" s="6" t="inlineStr">
        <is>
          <t>11-50</t>
        </is>
      </c>
      <c r="F283" s="6" t="n">
        <v>15</v>
      </c>
      <c r="G283" s="6" t="n">
        <v>244.9</v>
      </c>
      <c r="H283" s="6" t="inlineStr">
        <is>
          <t>Partner</t>
        </is>
      </c>
      <c r="I283" s="6" t="inlineStr">
        <is>
          <t>North America</t>
        </is>
      </c>
      <c r="J283" s="7" t="n">
        <v>45780</v>
      </c>
      <c r="K283" s="6" t="inlineStr">
        <is>
          <t>No</t>
        </is>
      </c>
      <c r="L283" s="7" t="n"/>
      <c r="M283" s="6" t="n"/>
      <c r="N283" s="6" t="n">
        <v>1</v>
      </c>
      <c r="O283" s="6" t="n">
        <v>6</v>
      </c>
      <c r="P283" s="6" t="n">
        <v>86</v>
      </c>
      <c r="Q283" s="6" t="inlineStr">
        <is>
          <t>Yes</t>
        </is>
      </c>
      <c r="R283" s="6">
        <f>IF(K283="Yes",1,0)</f>
        <v/>
      </c>
      <c r="S283" s="6">
        <f>IF(K283="No",1,0)</f>
        <v/>
      </c>
      <c r="T283" s="6">
        <f>ROUND((IF(L283="",'Subscriptions'!$T$2,L283)-J283)/30.44,1)</f>
        <v/>
      </c>
      <c r="U283" s="6">
        <f>IF(AND(P283&lt;'Subscriptions'!$T$4,O283&lt;='Subscriptions'!$T$5),1,0)</f>
        <v/>
      </c>
    </row>
    <row r="284">
      <c r="A284" s="6" t="inlineStr">
        <is>
          <t>CUST-0283</t>
        </is>
      </c>
      <c r="B284" s="6" t="inlineStr">
        <is>
          <t>Professional</t>
        </is>
      </c>
      <c r="C284" s="6" t="inlineStr">
        <is>
          <t>Monthly</t>
        </is>
      </c>
      <c r="D284" s="6" t="inlineStr">
        <is>
          <t>Manufacturing</t>
        </is>
      </c>
      <c r="E284" s="6" t="inlineStr">
        <is>
          <t>51-200</t>
        </is>
      </c>
      <c r="F284" s="6" t="n">
        <v>18</v>
      </c>
      <c r="G284" s="6" t="n">
        <v>280.45</v>
      </c>
      <c r="H284" s="6" t="inlineStr">
        <is>
          <t>Paid Ads</t>
        </is>
      </c>
      <c r="I284" s="6" t="inlineStr">
        <is>
          <t>North America</t>
        </is>
      </c>
      <c r="J284" s="7" t="n">
        <v>44887</v>
      </c>
      <c r="K284" s="6" t="inlineStr">
        <is>
          <t>Yes</t>
        </is>
      </c>
      <c r="L284" s="7" t="n">
        <v>45925</v>
      </c>
      <c r="M284" s="6" t="inlineStr">
        <is>
          <t>Switched Competitor</t>
        </is>
      </c>
      <c r="N284" s="6" t="n">
        <v>6</v>
      </c>
      <c r="O284" s="6" t="n">
        <v>2</v>
      </c>
      <c r="P284" s="6" t="n">
        <v>11</v>
      </c>
      <c r="Q284" s="6" t="inlineStr">
        <is>
          <t>No</t>
        </is>
      </c>
      <c r="R284" s="6">
        <f>IF(K284="Yes",1,0)</f>
        <v/>
      </c>
      <c r="S284" s="6">
        <f>IF(K284="No",1,0)</f>
        <v/>
      </c>
      <c r="T284" s="6">
        <f>ROUND((IF(L284="",'Subscriptions'!$T$2,L284)-J284)/30.44,1)</f>
        <v/>
      </c>
      <c r="U284" s="6">
        <f>IF(AND(P284&lt;'Subscriptions'!$T$4,O284&lt;='Subscriptions'!$T$5),1,0)</f>
        <v/>
      </c>
    </row>
    <row r="285">
      <c r="A285" s="6" t="inlineStr">
        <is>
          <t>CUST-0284</t>
        </is>
      </c>
      <c r="B285" s="6" t="inlineStr">
        <is>
          <t>Starter</t>
        </is>
      </c>
      <c r="C285" s="6" t="inlineStr">
        <is>
          <t>Monthly</t>
        </is>
      </c>
      <c r="D285" s="6" t="inlineStr">
        <is>
          <t>Manufacturing</t>
        </is>
      </c>
      <c r="E285" s="6" t="inlineStr">
        <is>
          <t>201-500</t>
        </is>
      </c>
      <c r="F285" s="6" t="n">
        <v>82</v>
      </c>
      <c r="G285" s="6" t="n">
        <v>381.35</v>
      </c>
      <c r="H285" s="6" t="inlineStr">
        <is>
          <t>Organic Search</t>
        </is>
      </c>
      <c r="I285" s="6" t="inlineStr">
        <is>
          <t>North America</t>
        </is>
      </c>
      <c r="J285" s="7" t="n">
        <v>45606</v>
      </c>
      <c r="K285" s="6" t="inlineStr">
        <is>
          <t>No</t>
        </is>
      </c>
      <c r="L285" s="7" t="n"/>
      <c r="M285" s="6" t="n"/>
      <c r="N285" s="6" t="n">
        <v>10</v>
      </c>
      <c r="O285" s="6" t="n">
        <v>4</v>
      </c>
      <c r="P285" s="6" t="n">
        <v>84</v>
      </c>
      <c r="Q285" s="6" t="inlineStr">
        <is>
          <t>Yes</t>
        </is>
      </c>
      <c r="R285" s="6">
        <f>IF(K285="Yes",1,0)</f>
        <v/>
      </c>
      <c r="S285" s="6">
        <f>IF(K285="No",1,0)</f>
        <v/>
      </c>
      <c r="T285" s="6">
        <f>ROUND((IF(L285="",'Subscriptions'!$T$2,L285)-J285)/30.44,1)</f>
        <v/>
      </c>
      <c r="U285" s="6">
        <f>IF(AND(P285&lt;'Subscriptions'!$T$4,O285&lt;='Subscriptions'!$T$5),1,0)</f>
        <v/>
      </c>
    </row>
    <row r="286">
      <c r="A286" s="6" t="inlineStr">
        <is>
          <t>CUST-0285</t>
        </is>
      </c>
      <c r="B286" s="6" t="inlineStr">
        <is>
          <t>Starter</t>
        </is>
      </c>
      <c r="C286" s="6" t="inlineStr">
        <is>
          <t>Monthly</t>
        </is>
      </c>
      <c r="D286" s="6" t="inlineStr">
        <is>
          <t>Healthcare</t>
        </is>
      </c>
      <c r="E286" s="6" t="inlineStr">
        <is>
          <t>201-500</t>
        </is>
      </c>
      <c r="F286" s="6" t="n">
        <v>111</v>
      </c>
      <c r="G286" s="6" t="n">
        <v>507.5</v>
      </c>
      <c r="H286" s="6" t="inlineStr">
        <is>
          <t>Social Media</t>
        </is>
      </c>
      <c r="I286" s="6" t="inlineStr">
        <is>
          <t>North America</t>
        </is>
      </c>
      <c r="J286" s="7" t="n">
        <v>46004</v>
      </c>
      <c r="K286" s="6" t="inlineStr">
        <is>
          <t>No</t>
        </is>
      </c>
      <c r="L286" s="7" t="n"/>
      <c r="M286" s="6" t="n"/>
      <c r="N286" s="6" t="n">
        <v>9</v>
      </c>
      <c r="O286" s="6" t="n">
        <v>7</v>
      </c>
      <c r="P286" s="6" t="n">
        <v>73</v>
      </c>
      <c r="Q286" s="6" t="inlineStr">
        <is>
          <t>No</t>
        </is>
      </c>
      <c r="R286" s="6">
        <f>IF(K286="Yes",1,0)</f>
        <v/>
      </c>
      <c r="S286" s="6">
        <f>IF(K286="No",1,0)</f>
        <v/>
      </c>
      <c r="T286" s="6">
        <f>ROUND((IF(L286="",'Subscriptions'!$T$2,L286)-J286)/30.44,1)</f>
        <v/>
      </c>
      <c r="U286" s="6">
        <f>IF(AND(P286&lt;'Subscriptions'!$T$4,O286&lt;='Subscriptions'!$T$5),1,0)</f>
        <v/>
      </c>
    </row>
    <row r="287">
      <c r="A287" s="6" t="inlineStr">
        <is>
          <t>CUST-0286</t>
        </is>
      </c>
      <c r="B287" s="6" t="inlineStr">
        <is>
          <t>Business</t>
        </is>
      </c>
      <c r="C287" s="6" t="inlineStr">
        <is>
          <t>Annual</t>
        </is>
      </c>
      <c r="D287" s="6" t="inlineStr">
        <is>
          <t>Finance</t>
        </is>
      </c>
      <c r="E287" s="6" t="inlineStr">
        <is>
          <t>1-10</t>
        </is>
      </c>
      <c r="F287" s="6" t="n">
        <v>2</v>
      </c>
      <c r="G287" s="6" t="n">
        <v>194.52</v>
      </c>
      <c r="H287" s="6" t="inlineStr">
        <is>
          <t>Organic Search</t>
        </is>
      </c>
      <c r="I287" s="6" t="inlineStr">
        <is>
          <t>Latin America</t>
        </is>
      </c>
      <c r="J287" s="7" t="n">
        <v>45109</v>
      </c>
      <c r="K287" s="6" t="inlineStr">
        <is>
          <t>Yes</t>
        </is>
      </c>
      <c r="L287" s="7" t="n">
        <v>45194</v>
      </c>
      <c r="M287" s="6" t="inlineStr">
        <is>
          <t>Budget Cuts</t>
        </is>
      </c>
      <c r="N287" s="6" t="n">
        <v>1</v>
      </c>
      <c r="O287" s="6" t="n">
        <v>2</v>
      </c>
      <c r="P287" s="6" t="n">
        <v>39</v>
      </c>
      <c r="Q287" s="6" t="inlineStr">
        <is>
          <t>No</t>
        </is>
      </c>
      <c r="R287" s="6">
        <f>IF(K287="Yes",1,0)</f>
        <v/>
      </c>
      <c r="S287" s="6">
        <f>IF(K287="No",1,0)</f>
        <v/>
      </c>
      <c r="T287" s="6">
        <f>ROUND((IF(L287="",'Subscriptions'!$T$2,L287)-J287)/30.44,1)</f>
        <v/>
      </c>
      <c r="U287" s="6">
        <f>IF(AND(P287&lt;'Subscriptions'!$T$4,O287&lt;='Subscriptions'!$T$5),1,0)</f>
        <v/>
      </c>
    </row>
    <row r="288">
      <c r="A288" s="6" t="inlineStr">
        <is>
          <t>CUST-0287</t>
        </is>
      </c>
      <c r="B288" s="6" t="inlineStr">
        <is>
          <t>Enterprise</t>
        </is>
      </c>
      <c r="C288" s="6" t="inlineStr">
        <is>
          <t>Monthly</t>
        </is>
      </c>
      <c r="D288" s="6" t="inlineStr">
        <is>
          <t>Manufacturing</t>
        </is>
      </c>
      <c r="E288" s="6" t="inlineStr">
        <is>
          <t>51-200</t>
        </is>
      </c>
      <c r="F288" s="6" t="n">
        <v>71</v>
      </c>
      <c r="G288" s="6" t="n">
        <v>5738.5</v>
      </c>
      <c r="H288" s="6" t="inlineStr">
        <is>
          <t>Referral</t>
        </is>
      </c>
      <c r="I288" s="6" t="inlineStr">
        <is>
          <t>North America</t>
        </is>
      </c>
      <c r="J288" s="7" t="n">
        <v>44939</v>
      </c>
      <c r="K288" s="6" t="inlineStr">
        <is>
          <t>No</t>
        </is>
      </c>
      <c r="L288" s="7" t="n"/>
      <c r="M288" s="6" t="n"/>
      <c r="N288" s="6" t="n">
        <v>9</v>
      </c>
      <c r="O288" s="6" t="n">
        <v>10</v>
      </c>
      <c r="P288" s="6" t="n">
        <v>36</v>
      </c>
      <c r="Q288" s="6" t="inlineStr">
        <is>
          <t>No</t>
        </is>
      </c>
      <c r="R288" s="6">
        <f>IF(K288="Yes",1,0)</f>
        <v/>
      </c>
      <c r="S288" s="6">
        <f>IF(K288="No",1,0)</f>
        <v/>
      </c>
      <c r="T288" s="6">
        <f>ROUND((IF(L288="",'Subscriptions'!$T$2,L288)-J288)/30.44,1)</f>
        <v/>
      </c>
      <c r="U288" s="6">
        <f>IF(AND(P288&lt;'Subscriptions'!$T$4,O288&lt;='Subscriptions'!$T$5),1,0)</f>
        <v/>
      </c>
    </row>
    <row r="289">
      <c r="A289" s="6" t="inlineStr">
        <is>
          <t>CUST-0288</t>
        </is>
      </c>
      <c r="B289" s="6" t="inlineStr">
        <is>
          <t>Business</t>
        </is>
      </c>
      <c r="C289" s="6" t="inlineStr">
        <is>
          <t>Monthly</t>
        </is>
      </c>
      <c r="D289" s="6" t="inlineStr">
        <is>
          <t>Technology</t>
        </is>
      </c>
      <c r="E289" s="6" t="inlineStr">
        <is>
          <t>11-50</t>
        </is>
      </c>
      <c r="F289" s="6" t="n">
        <v>19</v>
      </c>
      <c r="G289" s="6" t="n">
        <v>736.3</v>
      </c>
      <c r="H289" s="6" t="inlineStr">
        <is>
          <t>Organic Search</t>
        </is>
      </c>
      <c r="I289" s="6" t="inlineStr">
        <is>
          <t>North America</t>
        </is>
      </c>
      <c r="J289" s="7" t="n">
        <v>45738</v>
      </c>
      <c r="K289" s="6" t="inlineStr">
        <is>
          <t>No</t>
        </is>
      </c>
      <c r="L289" s="7" t="n"/>
      <c r="M289" s="6" t="n"/>
      <c r="N289" s="6" t="n">
        <v>12</v>
      </c>
      <c r="O289" s="6" t="n">
        <v>9</v>
      </c>
      <c r="P289" s="6" t="n">
        <v>47</v>
      </c>
      <c r="Q289" s="6" t="inlineStr">
        <is>
          <t>Yes</t>
        </is>
      </c>
      <c r="R289" s="6">
        <f>IF(K289="Yes",1,0)</f>
        <v/>
      </c>
      <c r="S289" s="6">
        <f>IF(K289="No",1,0)</f>
        <v/>
      </c>
      <c r="T289" s="6">
        <f>ROUND((IF(L289="",'Subscriptions'!$T$2,L289)-J289)/30.44,1)</f>
        <v/>
      </c>
      <c r="U289" s="6">
        <f>IF(AND(P289&lt;'Subscriptions'!$T$4,O289&lt;='Subscriptions'!$T$5),1,0)</f>
        <v/>
      </c>
    </row>
    <row r="290">
      <c r="A290" s="6" t="inlineStr">
        <is>
          <t>CUST-0289</t>
        </is>
      </c>
      <c r="B290" s="6" t="inlineStr">
        <is>
          <t>Professional</t>
        </is>
      </c>
      <c r="C290" s="6" t="inlineStr">
        <is>
          <t>Monthly</t>
        </is>
      </c>
      <c r="D290" s="6" t="inlineStr">
        <is>
          <t>Manufacturing</t>
        </is>
      </c>
      <c r="E290" s="6" t="inlineStr">
        <is>
          <t>51-200</t>
        </is>
      </c>
      <c r="F290" s="6" t="n">
        <v>51</v>
      </c>
      <c r="G290" s="6" t="n">
        <v>671.5</v>
      </c>
      <c r="H290" s="6" t="inlineStr">
        <is>
          <t>Organic Search</t>
        </is>
      </c>
      <c r="I290" s="6" t="inlineStr">
        <is>
          <t>North America</t>
        </is>
      </c>
      <c r="J290" s="7" t="n">
        <v>44567</v>
      </c>
      <c r="K290" s="6" t="inlineStr">
        <is>
          <t>No</t>
        </is>
      </c>
      <c r="L290" s="7" t="n"/>
      <c r="M290" s="6" t="n"/>
      <c r="N290" s="6" t="n">
        <v>3</v>
      </c>
      <c r="O290" s="6" t="n">
        <v>7</v>
      </c>
      <c r="P290" s="6" t="n">
        <v>75</v>
      </c>
      <c r="Q290" s="6" t="inlineStr">
        <is>
          <t>No</t>
        </is>
      </c>
      <c r="R290" s="6">
        <f>IF(K290="Yes",1,0)</f>
        <v/>
      </c>
      <c r="S290" s="6">
        <f>IF(K290="No",1,0)</f>
        <v/>
      </c>
      <c r="T290" s="6">
        <f>ROUND((IF(L290="",'Subscriptions'!$T$2,L290)-J290)/30.44,1)</f>
        <v/>
      </c>
      <c r="U290" s="6">
        <f>IF(AND(P290&lt;'Subscriptions'!$T$4,O290&lt;='Subscriptions'!$T$5),1,0)</f>
        <v/>
      </c>
    </row>
    <row r="291">
      <c r="A291" s="6" t="inlineStr">
        <is>
          <t>CUST-0290</t>
        </is>
      </c>
      <c r="B291" s="6" t="inlineStr">
        <is>
          <t>Business</t>
        </is>
      </c>
      <c r="C291" s="6" t="inlineStr">
        <is>
          <t>Annual</t>
        </is>
      </c>
      <c r="D291" s="6" t="inlineStr">
        <is>
          <t>Consulting</t>
        </is>
      </c>
      <c r="E291" s="6" t="inlineStr">
        <is>
          <t>201-500</t>
        </is>
      </c>
      <c r="F291" s="6" t="n">
        <v>55</v>
      </c>
      <c r="G291" s="6" t="n">
        <v>1539.27</v>
      </c>
      <c r="H291" s="6" t="inlineStr">
        <is>
          <t>Paid Ads</t>
        </is>
      </c>
      <c r="I291" s="6" t="inlineStr">
        <is>
          <t>Latin America</t>
        </is>
      </c>
      <c r="J291" s="7" t="n">
        <v>44771</v>
      </c>
      <c r="K291" s="6" t="inlineStr">
        <is>
          <t>Yes</t>
        </is>
      </c>
      <c r="L291" s="7" t="n">
        <v>45441</v>
      </c>
      <c r="M291" s="6" t="inlineStr">
        <is>
          <t>Poor Support</t>
        </is>
      </c>
      <c r="N291" s="6" t="n">
        <v>8</v>
      </c>
      <c r="O291" s="6" t="n">
        <v>2</v>
      </c>
      <c r="P291" s="6" t="n">
        <v>34</v>
      </c>
      <c r="Q291" s="6" t="inlineStr">
        <is>
          <t>No</t>
        </is>
      </c>
      <c r="R291" s="6">
        <f>IF(K291="Yes",1,0)</f>
        <v/>
      </c>
      <c r="S291" s="6">
        <f>IF(K291="No",1,0)</f>
        <v/>
      </c>
      <c r="T291" s="6">
        <f>ROUND((IF(L291="",'Subscriptions'!$T$2,L291)-J291)/30.44,1)</f>
        <v/>
      </c>
      <c r="U291" s="6">
        <f>IF(AND(P291&lt;'Subscriptions'!$T$4,O291&lt;='Subscriptions'!$T$5),1,0)</f>
        <v/>
      </c>
    </row>
    <row r="292">
      <c r="A292" s="6" t="inlineStr">
        <is>
          <t>CUST-0291</t>
        </is>
      </c>
      <c r="B292" s="6" t="inlineStr">
        <is>
          <t>Enterprise</t>
        </is>
      </c>
      <c r="C292" s="6" t="inlineStr">
        <is>
          <t>Annual</t>
        </is>
      </c>
      <c r="D292" s="6" t="inlineStr">
        <is>
          <t>Finance</t>
        </is>
      </c>
      <c r="E292" s="6" t="inlineStr">
        <is>
          <t>51-200</t>
        </is>
      </c>
      <c r="F292" s="6" t="n">
        <v>16</v>
      </c>
      <c r="G292" s="6" t="n">
        <v>1378.49</v>
      </c>
      <c r="H292" s="6" t="inlineStr">
        <is>
          <t>Social Media</t>
        </is>
      </c>
      <c r="I292" s="6" t="inlineStr">
        <is>
          <t>North America</t>
        </is>
      </c>
      <c r="J292" s="7" t="n">
        <v>44938</v>
      </c>
      <c r="K292" s="6" t="inlineStr">
        <is>
          <t>No</t>
        </is>
      </c>
      <c r="L292" s="7" t="n"/>
      <c r="M292" s="6" t="n"/>
      <c r="N292" s="6" t="n">
        <v>9</v>
      </c>
      <c r="O292" s="6" t="n">
        <v>6</v>
      </c>
      <c r="P292" s="6" t="n">
        <v>31</v>
      </c>
      <c r="Q292" s="6" t="inlineStr">
        <is>
          <t>No</t>
        </is>
      </c>
      <c r="R292" s="6">
        <f>IF(K292="Yes",1,0)</f>
        <v/>
      </c>
      <c r="S292" s="6">
        <f>IF(K292="No",1,0)</f>
        <v/>
      </c>
      <c r="T292" s="6">
        <f>ROUND((IF(L292="",'Subscriptions'!$T$2,L292)-J292)/30.44,1)</f>
        <v/>
      </c>
      <c r="U292" s="6">
        <f>IF(AND(P292&lt;'Subscriptions'!$T$4,O292&lt;='Subscriptions'!$T$5),1,0)</f>
        <v/>
      </c>
    </row>
    <row r="293">
      <c r="A293" s="6" t="inlineStr">
        <is>
          <t>CUST-0292</t>
        </is>
      </c>
      <c r="B293" s="6" t="inlineStr">
        <is>
          <t>Professional</t>
        </is>
      </c>
      <c r="C293" s="6" t="inlineStr">
        <is>
          <t>Monthly</t>
        </is>
      </c>
      <c r="D293" s="6" t="inlineStr">
        <is>
          <t>Technology</t>
        </is>
      </c>
      <c r="E293" s="6" t="inlineStr">
        <is>
          <t>1-10</t>
        </is>
      </c>
      <c r="F293" s="6" t="n">
        <v>8</v>
      </c>
      <c r="G293" s="6" t="n">
        <v>161.95</v>
      </c>
      <c r="H293" s="6" t="inlineStr">
        <is>
          <t>Direct Sales</t>
        </is>
      </c>
      <c r="I293" s="6" t="inlineStr">
        <is>
          <t>North America</t>
        </is>
      </c>
      <c r="J293" s="7" t="n">
        <v>45110</v>
      </c>
      <c r="K293" s="6" t="inlineStr">
        <is>
          <t>Yes</t>
        </is>
      </c>
      <c r="L293" s="7" t="n">
        <v>45688</v>
      </c>
      <c r="M293" s="6" t="inlineStr">
        <is>
          <t>Switched Competitor</t>
        </is>
      </c>
      <c r="N293" s="6" t="n">
        <v>3</v>
      </c>
      <c r="O293" s="6" t="n">
        <v>1</v>
      </c>
      <c r="P293" s="6" t="n">
        <v>32</v>
      </c>
      <c r="Q293" s="6" t="inlineStr">
        <is>
          <t>No</t>
        </is>
      </c>
      <c r="R293" s="6">
        <f>IF(K293="Yes",1,0)</f>
        <v/>
      </c>
      <c r="S293" s="6">
        <f>IF(K293="No",1,0)</f>
        <v/>
      </c>
      <c r="T293" s="6">
        <f>ROUND((IF(L293="",'Subscriptions'!$T$2,L293)-J293)/30.44,1)</f>
        <v/>
      </c>
      <c r="U293" s="6">
        <f>IF(AND(P293&lt;'Subscriptions'!$T$4,O293&lt;='Subscriptions'!$T$5),1,0)</f>
        <v/>
      </c>
    </row>
    <row r="294">
      <c r="A294" s="6" t="inlineStr">
        <is>
          <t>CUST-0293</t>
        </is>
      </c>
      <c r="B294" s="6" t="inlineStr">
        <is>
          <t>Professional</t>
        </is>
      </c>
      <c r="C294" s="6" t="inlineStr">
        <is>
          <t>Monthly</t>
        </is>
      </c>
      <c r="D294" s="6" t="inlineStr">
        <is>
          <t>Finance</t>
        </is>
      </c>
      <c r="E294" s="6" t="inlineStr">
        <is>
          <t>11-50</t>
        </is>
      </c>
      <c r="F294" s="6" t="n">
        <v>24</v>
      </c>
      <c r="G294" s="6" t="n">
        <v>351.55</v>
      </c>
      <c r="H294" s="6" t="inlineStr">
        <is>
          <t>Direct Sales</t>
        </is>
      </c>
      <c r="I294" s="6" t="inlineStr">
        <is>
          <t>North America</t>
        </is>
      </c>
      <c r="J294" s="7" t="n">
        <v>44613</v>
      </c>
      <c r="K294" s="6" t="inlineStr">
        <is>
          <t>Yes</t>
        </is>
      </c>
      <c r="L294" s="7" t="n">
        <v>44784</v>
      </c>
      <c r="M294" s="6" t="inlineStr">
        <is>
          <t>Switched Competitor</t>
        </is>
      </c>
      <c r="N294" s="6" t="n">
        <v>8</v>
      </c>
      <c r="O294" s="6" t="n">
        <v>1</v>
      </c>
      <c r="P294" s="6" t="n">
        <v>35</v>
      </c>
      <c r="Q294" s="6" t="inlineStr">
        <is>
          <t>No</t>
        </is>
      </c>
      <c r="R294" s="6">
        <f>IF(K294="Yes",1,0)</f>
        <v/>
      </c>
      <c r="S294" s="6">
        <f>IF(K294="No",1,0)</f>
        <v/>
      </c>
      <c r="T294" s="6">
        <f>ROUND((IF(L294="",'Subscriptions'!$T$2,L294)-J294)/30.44,1)</f>
        <v/>
      </c>
      <c r="U294" s="6">
        <f>IF(AND(P294&lt;'Subscriptions'!$T$4,O294&lt;='Subscriptions'!$T$5),1,0)</f>
        <v/>
      </c>
    </row>
    <row r="295">
      <c r="A295" s="6" t="inlineStr">
        <is>
          <t>CUST-0294</t>
        </is>
      </c>
      <c r="B295" s="6" t="inlineStr">
        <is>
          <t>Business</t>
        </is>
      </c>
      <c r="C295" s="6" t="inlineStr">
        <is>
          <t>Monthly</t>
        </is>
      </c>
      <c r="D295" s="6" t="inlineStr">
        <is>
          <t>Finance</t>
        </is>
      </c>
      <c r="E295" s="6" t="inlineStr">
        <is>
          <t>51-200</t>
        </is>
      </c>
      <c r="F295" s="6" t="n">
        <v>51</v>
      </c>
      <c r="G295" s="6" t="n">
        <v>1691.5</v>
      </c>
      <c r="H295" s="6" t="inlineStr">
        <is>
          <t>Referral</t>
        </is>
      </c>
      <c r="I295" s="6" t="inlineStr">
        <is>
          <t>North America</t>
        </is>
      </c>
      <c r="J295" s="7" t="n">
        <v>45891</v>
      </c>
      <c r="K295" s="6" t="inlineStr">
        <is>
          <t>Yes</t>
        </is>
      </c>
      <c r="L295" s="7" t="n">
        <v>45975</v>
      </c>
      <c r="M295" s="6" t="inlineStr">
        <is>
          <t>Switched Competitor</t>
        </is>
      </c>
      <c r="N295" s="6" t="n">
        <v>1</v>
      </c>
      <c r="O295" s="6" t="n">
        <v>4</v>
      </c>
      <c r="P295" s="6" t="n">
        <v>25</v>
      </c>
      <c r="Q295" s="6" t="inlineStr">
        <is>
          <t>No</t>
        </is>
      </c>
      <c r="R295" s="6">
        <f>IF(K295="Yes",1,0)</f>
        <v/>
      </c>
      <c r="S295" s="6">
        <f>IF(K295="No",1,0)</f>
        <v/>
      </c>
      <c r="T295" s="6">
        <f>ROUND((IF(L295="",'Subscriptions'!$T$2,L295)-J295)/30.44,1)</f>
        <v/>
      </c>
      <c r="U295" s="6">
        <f>IF(AND(P295&lt;'Subscriptions'!$T$4,O295&lt;='Subscriptions'!$T$5),1,0)</f>
        <v/>
      </c>
    </row>
    <row r="296">
      <c r="A296" s="6" t="inlineStr">
        <is>
          <t>CUST-0295</t>
        </is>
      </c>
      <c r="B296" s="6" t="inlineStr">
        <is>
          <t>Starter</t>
        </is>
      </c>
      <c r="C296" s="6" t="inlineStr">
        <is>
          <t>Monthly</t>
        </is>
      </c>
      <c r="D296" s="6" t="inlineStr">
        <is>
          <t>Manufacturing</t>
        </is>
      </c>
      <c r="E296" s="6" t="inlineStr">
        <is>
          <t>201-500</t>
        </is>
      </c>
      <c r="F296" s="6" t="n">
        <v>34</v>
      </c>
      <c r="G296" s="6" t="n">
        <v>172.55</v>
      </c>
      <c r="H296" s="6" t="inlineStr">
        <is>
          <t>Referral</t>
        </is>
      </c>
      <c r="I296" s="6" t="inlineStr">
        <is>
          <t>Europe</t>
        </is>
      </c>
      <c r="J296" s="7" t="n">
        <v>44846</v>
      </c>
      <c r="K296" s="6" t="inlineStr">
        <is>
          <t>Yes</t>
        </is>
      </c>
      <c r="L296" s="7" t="n">
        <v>44863</v>
      </c>
      <c r="M296" s="6" t="inlineStr">
        <is>
          <t>Budget Cuts</t>
        </is>
      </c>
      <c r="N296" s="6" t="n">
        <v>6</v>
      </c>
      <c r="O296" s="6" t="n">
        <v>4</v>
      </c>
      <c r="P296" s="6" t="n">
        <v>12</v>
      </c>
      <c r="Q296" s="6" t="inlineStr">
        <is>
          <t>No</t>
        </is>
      </c>
      <c r="R296" s="6">
        <f>IF(K296="Yes",1,0)</f>
        <v/>
      </c>
      <c r="S296" s="6">
        <f>IF(K296="No",1,0)</f>
        <v/>
      </c>
      <c r="T296" s="6">
        <f>ROUND((IF(L296="",'Subscriptions'!$T$2,L296)-J296)/30.44,1)</f>
        <v/>
      </c>
      <c r="U296" s="6">
        <f>IF(AND(P296&lt;'Subscriptions'!$T$4,O296&lt;='Subscriptions'!$T$5),1,0)</f>
        <v/>
      </c>
    </row>
    <row r="297">
      <c r="A297" s="6" t="inlineStr">
        <is>
          <t>CUST-0296</t>
        </is>
      </c>
      <c r="B297" s="6" t="inlineStr">
        <is>
          <t>Starter</t>
        </is>
      </c>
      <c r="C297" s="6" t="inlineStr">
        <is>
          <t>Monthly</t>
        </is>
      </c>
      <c r="D297" s="6" t="inlineStr">
        <is>
          <t>Education</t>
        </is>
      </c>
      <c r="E297" s="6" t="inlineStr">
        <is>
          <t>201-500</t>
        </is>
      </c>
      <c r="F297" s="6" t="n">
        <v>146</v>
      </c>
      <c r="G297" s="6" t="n">
        <v>659.75</v>
      </c>
      <c r="H297" s="6" t="inlineStr">
        <is>
          <t>Partner</t>
        </is>
      </c>
      <c r="I297" s="6" t="inlineStr">
        <is>
          <t>North America</t>
        </is>
      </c>
      <c r="J297" s="7" t="n">
        <v>45218</v>
      </c>
      <c r="K297" s="6" t="inlineStr">
        <is>
          <t>Yes</t>
        </is>
      </c>
      <c r="L297" s="7" t="n">
        <v>45240</v>
      </c>
      <c r="M297" s="6" t="inlineStr">
        <is>
          <t>Price Too High</t>
        </is>
      </c>
      <c r="N297" s="6" t="n">
        <v>8</v>
      </c>
      <c r="O297" s="6" t="n">
        <v>3</v>
      </c>
      <c r="P297" s="6" t="n">
        <v>13</v>
      </c>
      <c r="Q297" s="6" t="inlineStr">
        <is>
          <t>No</t>
        </is>
      </c>
      <c r="R297" s="6">
        <f>IF(K297="Yes",1,0)</f>
        <v/>
      </c>
      <c r="S297" s="6">
        <f>IF(K297="No",1,0)</f>
        <v/>
      </c>
      <c r="T297" s="6">
        <f>ROUND((IF(L297="",'Subscriptions'!$T$2,L297)-J297)/30.44,1)</f>
        <v/>
      </c>
      <c r="U297" s="6">
        <f>IF(AND(P297&lt;'Subscriptions'!$T$4,O297&lt;='Subscriptions'!$T$5),1,0)</f>
        <v/>
      </c>
    </row>
    <row r="298">
      <c r="A298" s="6" t="inlineStr">
        <is>
          <t>CUST-0297</t>
        </is>
      </c>
      <c r="B298" s="6" t="inlineStr">
        <is>
          <t>Business</t>
        </is>
      </c>
      <c r="C298" s="6" t="inlineStr">
        <is>
          <t>Monthly</t>
        </is>
      </c>
      <c r="D298" s="6" t="inlineStr">
        <is>
          <t>Technology</t>
        </is>
      </c>
      <c r="E298" s="6" t="inlineStr">
        <is>
          <t>51-200</t>
        </is>
      </c>
      <c r="F298" s="6" t="n">
        <v>36</v>
      </c>
      <c r="G298" s="6" t="n">
        <v>1243.75</v>
      </c>
      <c r="H298" s="6" t="inlineStr">
        <is>
          <t>Paid Ads</t>
        </is>
      </c>
      <c r="I298" s="6" t="inlineStr">
        <is>
          <t>North America</t>
        </is>
      </c>
      <c r="J298" s="7" t="n">
        <v>45645</v>
      </c>
      <c r="K298" s="6" t="inlineStr">
        <is>
          <t>No</t>
        </is>
      </c>
      <c r="L298" s="7" t="n"/>
      <c r="M298" s="6" t="n"/>
      <c r="N298" s="6" t="n">
        <v>6</v>
      </c>
      <c r="O298" s="6" t="n">
        <v>10</v>
      </c>
      <c r="P298" s="6" t="n">
        <v>82</v>
      </c>
      <c r="Q298" s="6" t="inlineStr">
        <is>
          <t>No</t>
        </is>
      </c>
      <c r="R298" s="6">
        <f>IF(K298="Yes",1,0)</f>
        <v/>
      </c>
      <c r="S298" s="6">
        <f>IF(K298="No",1,0)</f>
        <v/>
      </c>
      <c r="T298" s="6">
        <f>ROUND((IF(L298="",'Subscriptions'!$T$2,L298)-J298)/30.44,1)</f>
        <v/>
      </c>
      <c r="U298" s="6">
        <f>IF(AND(P298&lt;'Subscriptions'!$T$4,O298&lt;='Subscriptions'!$T$5),1,0)</f>
        <v/>
      </c>
    </row>
    <row r="299">
      <c r="A299" s="6" t="inlineStr">
        <is>
          <t>CUST-0298</t>
        </is>
      </c>
      <c r="B299" s="6" t="inlineStr">
        <is>
          <t>Starter</t>
        </is>
      </c>
      <c r="C299" s="6" t="inlineStr">
        <is>
          <t>Monthly</t>
        </is>
      </c>
      <c r="D299" s="6" t="inlineStr">
        <is>
          <t>Education</t>
        </is>
      </c>
      <c r="E299" s="6" t="inlineStr">
        <is>
          <t>51-200</t>
        </is>
      </c>
      <c r="F299" s="6" t="n">
        <v>70</v>
      </c>
      <c r="G299" s="6" t="n">
        <v>329.15</v>
      </c>
      <c r="H299" s="6" t="inlineStr">
        <is>
          <t>Direct Sales</t>
        </is>
      </c>
      <c r="I299" s="6" t="inlineStr">
        <is>
          <t>Latin America</t>
        </is>
      </c>
      <c r="J299" s="7" t="n">
        <v>45105</v>
      </c>
      <c r="K299" s="6" t="inlineStr">
        <is>
          <t>Yes</t>
        </is>
      </c>
      <c r="L299" s="7" t="n">
        <v>45531</v>
      </c>
      <c r="M299" s="6" t="inlineStr">
        <is>
          <t>Budget Cuts</t>
        </is>
      </c>
      <c r="N299" s="6" t="n">
        <v>15</v>
      </c>
      <c r="O299" s="6" t="n">
        <v>2</v>
      </c>
      <c r="P299" s="6" t="n">
        <v>11</v>
      </c>
      <c r="Q299" s="6" t="inlineStr">
        <is>
          <t>No</t>
        </is>
      </c>
      <c r="R299" s="6">
        <f>IF(K299="Yes",1,0)</f>
        <v/>
      </c>
      <c r="S299" s="6">
        <f>IF(K299="No",1,0)</f>
        <v/>
      </c>
      <c r="T299" s="6">
        <f>ROUND((IF(L299="",'Subscriptions'!$T$2,L299)-J299)/30.44,1)</f>
        <v/>
      </c>
      <c r="U299" s="6">
        <f>IF(AND(P299&lt;'Subscriptions'!$T$4,O299&lt;='Subscriptions'!$T$5),1,0)</f>
        <v/>
      </c>
    </row>
    <row r="300">
      <c r="A300" s="6" t="inlineStr">
        <is>
          <t>CUST-0299</t>
        </is>
      </c>
      <c r="B300" s="6" t="inlineStr">
        <is>
          <t>Business</t>
        </is>
      </c>
      <c r="C300" s="6" t="inlineStr">
        <is>
          <t>Monthly</t>
        </is>
      </c>
      <c r="D300" s="6" t="inlineStr">
        <is>
          <t>Retail</t>
        </is>
      </c>
      <c r="E300" s="6" t="inlineStr">
        <is>
          <t>11-50</t>
        </is>
      </c>
      <c r="F300" s="6" t="n">
        <v>13</v>
      </c>
      <c r="G300" s="6" t="n">
        <v>557.2</v>
      </c>
      <c r="H300" s="6" t="inlineStr">
        <is>
          <t>Organic Search</t>
        </is>
      </c>
      <c r="I300" s="6" t="inlineStr">
        <is>
          <t>North America</t>
        </is>
      </c>
      <c r="J300" s="7" t="n">
        <v>44680</v>
      </c>
      <c r="K300" s="6" t="inlineStr">
        <is>
          <t>Yes</t>
        </is>
      </c>
      <c r="L300" s="7" t="n">
        <v>44757</v>
      </c>
      <c r="M300" s="6" t="inlineStr">
        <is>
          <t>Price Too High</t>
        </is>
      </c>
      <c r="N300" s="6" t="n">
        <v>6</v>
      </c>
      <c r="O300" s="6" t="n">
        <v>6</v>
      </c>
      <c r="P300" s="6" t="n">
        <v>43</v>
      </c>
      <c r="Q300" s="6" t="inlineStr">
        <is>
          <t>No</t>
        </is>
      </c>
      <c r="R300" s="6">
        <f>IF(K300="Yes",1,0)</f>
        <v/>
      </c>
      <c r="S300" s="6">
        <f>IF(K300="No",1,0)</f>
        <v/>
      </c>
      <c r="T300" s="6">
        <f>ROUND((IF(L300="",'Subscriptions'!$T$2,L300)-J300)/30.44,1)</f>
        <v/>
      </c>
      <c r="U300" s="6">
        <f>IF(AND(P300&lt;'Subscriptions'!$T$4,O300&lt;='Subscriptions'!$T$5),1,0)</f>
        <v/>
      </c>
    </row>
    <row r="301">
      <c r="A301" s="6" t="inlineStr">
        <is>
          <t>CUST-0300</t>
        </is>
      </c>
      <c r="B301" s="6" t="inlineStr">
        <is>
          <t>Starter</t>
        </is>
      </c>
      <c r="C301" s="6" t="inlineStr">
        <is>
          <t>Monthly</t>
        </is>
      </c>
      <c r="D301" s="6" t="inlineStr">
        <is>
          <t>Manufacturing</t>
        </is>
      </c>
      <c r="E301" s="6" t="inlineStr">
        <is>
          <t>11-50</t>
        </is>
      </c>
      <c r="F301" s="6" t="n">
        <v>23</v>
      </c>
      <c r="G301" s="6" t="n">
        <v>124.7</v>
      </c>
      <c r="H301" s="6" t="inlineStr">
        <is>
          <t>Paid Ads</t>
        </is>
      </c>
      <c r="I301" s="6" t="inlineStr">
        <is>
          <t>Europe</t>
        </is>
      </c>
      <c r="J301" s="7" t="n">
        <v>45814</v>
      </c>
      <c r="K301" s="6" t="inlineStr">
        <is>
          <t>No</t>
        </is>
      </c>
      <c r="L301" s="7" t="n"/>
      <c r="M301" s="6" t="n"/>
      <c r="N301" s="6" t="n">
        <v>11</v>
      </c>
      <c r="O301" s="6" t="n">
        <v>10</v>
      </c>
      <c r="P301" s="6" t="n">
        <v>44</v>
      </c>
      <c r="Q301" s="6" t="inlineStr">
        <is>
          <t>No</t>
        </is>
      </c>
      <c r="R301" s="6">
        <f>IF(K301="Yes",1,0)</f>
        <v/>
      </c>
      <c r="S301" s="6">
        <f>IF(K301="No",1,0)</f>
        <v/>
      </c>
      <c r="T301" s="6">
        <f>ROUND((IF(L301="",'Subscriptions'!$T$2,L301)-J301)/30.44,1)</f>
        <v/>
      </c>
      <c r="U301" s="6">
        <f>IF(AND(P301&lt;'Subscriptions'!$T$4,O301&lt;='Subscriptions'!$T$5),1,0)</f>
        <v/>
      </c>
    </row>
    <row r="302">
      <c r="A302" s="6" t="inlineStr">
        <is>
          <t>CUST-0301</t>
        </is>
      </c>
      <c r="B302" s="6" t="inlineStr">
        <is>
          <t>Professional</t>
        </is>
      </c>
      <c r="C302" s="6" t="inlineStr">
        <is>
          <t>Annual</t>
        </is>
      </c>
      <c r="D302" s="6" t="inlineStr">
        <is>
          <t>Legal</t>
        </is>
      </c>
      <c r="E302" s="6" t="inlineStr">
        <is>
          <t>201-500</t>
        </is>
      </c>
      <c r="F302" s="6" t="n">
        <v>108</v>
      </c>
      <c r="G302" s="6" t="n">
        <v>1144.91</v>
      </c>
      <c r="H302" s="6" t="inlineStr">
        <is>
          <t>Organic Search</t>
        </is>
      </c>
      <c r="I302" s="6" t="inlineStr">
        <is>
          <t>North America</t>
        </is>
      </c>
      <c r="J302" s="7" t="n">
        <v>45640</v>
      </c>
      <c r="K302" s="6" t="inlineStr">
        <is>
          <t>No</t>
        </is>
      </c>
      <c r="L302" s="7" t="n"/>
      <c r="M302" s="6" t="n"/>
      <c r="N302" s="6" t="n">
        <v>3</v>
      </c>
      <c r="O302" s="6" t="n">
        <v>6</v>
      </c>
      <c r="P302" s="6" t="n">
        <v>32</v>
      </c>
      <c r="Q302" s="6" t="inlineStr">
        <is>
          <t>Yes</t>
        </is>
      </c>
      <c r="R302" s="6">
        <f>IF(K302="Yes",1,0)</f>
        <v/>
      </c>
      <c r="S302" s="6">
        <f>IF(K302="No",1,0)</f>
        <v/>
      </c>
      <c r="T302" s="6">
        <f>ROUND((IF(L302="",'Subscriptions'!$T$2,L302)-J302)/30.44,1)</f>
        <v/>
      </c>
      <c r="U302" s="6">
        <f>IF(AND(P302&lt;'Subscriptions'!$T$4,O302&lt;='Subscriptions'!$T$5),1,0)</f>
        <v/>
      </c>
    </row>
    <row r="303">
      <c r="A303" s="6" t="inlineStr">
        <is>
          <t>CUST-0302</t>
        </is>
      </c>
      <c r="B303" s="6" t="inlineStr">
        <is>
          <t>Business</t>
        </is>
      </c>
      <c r="C303" s="6" t="inlineStr">
        <is>
          <t>Annual</t>
        </is>
      </c>
      <c r="D303" s="6" t="inlineStr">
        <is>
          <t>Finance</t>
        </is>
      </c>
      <c r="E303" s="6" t="inlineStr">
        <is>
          <t>11-50</t>
        </is>
      </c>
      <c r="F303" s="6" t="n">
        <v>19</v>
      </c>
      <c r="G303" s="6" t="n">
        <v>625.86</v>
      </c>
      <c r="H303" s="6" t="inlineStr">
        <is>
          <t>Paid Ads</t>
        </is>
      </c>
      <c r="I303" s="6" t="inlineStr">
        <is>
          <t>North America</t>
        </is>
      </c>
      <c r="J303" s="7" t="n">
        <v>45024</v>
      </c>
      <c r="K303" s="6" t="inlineStr">
        <is>
          <t>No</t>
        </is>
      </c>
      <c r="L303" s="7" t="n"/>
      <c r="M303" s="6" t="n"/>
      <c r="N303" s="6" t="n">
        <v>8</v>
      </c>
      <c r="O303" s="6" t="n">
        <v>10</v>
      </c>
      <c r="P303" s="6" t="n">
        <v>53</v>
      </c>
      <c r="Q303" s="6" t="inlineStr">
        <is>
          <t>No</t>
        </is>
      </c>
      <c r="R303" s="6">
        <f>IF(K303="Yes",1,0)</f>
        <v/>
      </c>
      <c r="S303" s="6">
        <f>IF(K303="No",1,0)</f>
        <v/>
      </c>
      <c r="T303" s="6">
        <f>ROUND((IF(L303="",'Subscriptions'!$T$2,L303)-J303)/30.44,1)</f>
        <v/>
      </c>
      <c r="U303" s="6">
        <f>IF(AND(P303&lt;'Subscriptions'!$T$4,O303&lt;='Subscriptions'!$T$5),1,0)</f>
        <v/>
      </c>
    </row>
    <row r="304">
      <c r="A304" s="6" t="inlineStr">
        <is>
          <t>CUST-0303</t>
        </is>
      </c>
      <c r="B304" s="6" t="inlineStr">
        <is>
          <t>Business</t>
        </is>
      </c>
      <c r="C304" s="6" t="inlineStr">
        <is>
          <t>Annual</t>
        </is>
      </c>
      <c r="D304" s="6" t="inlineStr">
        <is>
          <t>Consulting</t>
        </is>
      </c>
      <c r="E304" s="6" t="inlineStr">
        <is>
          <t>11-50</t>
        </is>
      </c>
      <c r="F304" s="6" t="n">
        <v>22</v>
      </c>
      <c r="G304" s="6" t="n">
        <v>701.97</v>
      </c>
      <c r="H304" s="6" t="inlineStr">
        <is>
          <t>Social Media</t>
        </is>
      </c>
      <c r="I304" s="6" t="inlineStr">
        <is>
          <t>Latin America</t>
        </is>
      </c>
      <c r="J304" s="7" t="n">
        <v>44585</v>
      </c>
      <c r="K304" s="6" t="inlineStr">
        <is>
          <t>Yes</t>
        </is>
      </c>
      <c r="L304" s="7" t="n">
        <v>45272</v>
      </c>
      <c r="M304" s="6" t="inlineStr">
        <is>
          <t>Poor Support</t>
        </is>
      </c>
      <c r="N304" s="6" t="n">
        <v>1</v>
      </c>
      <c r="O304" s="6" t="n">
        <v>5</v>
      </c>
      <c r="P304" s="6" t="n">
        <v>10</v>
      </c>
      <c r="Q304" s="6" t="inlineStr">
        <is>
          <t>No</t>
        </is>
      </c>
      <c r="R304" s="6">
        <f>IF(K304="Yes",1,0)</f>
        <v/>
      </c>
      <c r="S304" s="6">
        <f>IF(K304="No",1,0)</f>
        <v/>
      </c>
      <c r="T304" s="6">
        <f>ROUND((IF(L304="",'Subscriptions'!$T$2,L304)-J304)/30.44,1)</f>
        <v/>
      </c>
      <c r="U304" s="6">
        <f>IF(AND(P304&lt;'Subscriptions'!$T$4,O304&lt;='Subscriptions'!$T$5),1,0)</f>
        <v/>
      </c>
    </row>
    <row r="305">
      <c r="A305" s="6" t="inlineStr">
        <is>
          <t>CUST-0304</t>
        </is>
      </c>
      <c r="B305" s="6" t="inlineStr">
        <is>
          <t>Professional</t>
        </is>
      </c>
      <c r="C305" s="6" t="inlineStr">
        <is>
          <t>Annual</t>
        </is>
      </c>
      <c r="D305" s="6" t="inlineStr">
        <is>
          <t>Media</t>
        </is>
      </c>
      <c r="E305" s="6" t="inlineStr">
        <is>
          <t>11-50</t>
        </is>
      </c>
      <c r="F305" s="6" t="n">
        <v>29</v>
      </c>
      <c r="G305" s="6" t="n">
        <v>349.18</v>
      </c>
      <c r="H305" s="6" t="inlineStr">
        <is>
          <t>Referral</t>
        </is>
      </c>
      <c r="I305" s="6" t="inlineStr">
        <is>
          <t>North America</t>
        </is>
      </c>
      <c r="J305" s="7" t="n">
        <v>44898</v>
      </c>
      <c r="K305" s="6" t="inlineStr">
        <is>
          <t>Yes</t>
        </is>
      </c>
      <c r="L305" s="7" t="n">
        <v>44976</v>
      </c>
      <c r="M305" s="6" t="inlineStr">
        <is>
          <t>No Longer Needed</t>
        </is>
      </c>
      <c r="N305" s="6" t="n">
        <v>14</v>
      </c>
      <c r="O305" s="6" t="n">
        <v>3</v>
      </c>
      <c r="P305" s="6" t="n">
        <v>32</v>
      </c>
      <c r="Q305" s="6" t="inlineStr">
        <is>
          <t>No</t>
        </is>
      </c>
      <c r="R305" s="6">
        <f>IF(K305="Yes",1,0)</f>
        <v/>
      </c>
      <c r="S305" s="6">
        <f>IF(K305="No",1,0)</f>
        <v/>
      </c>
      <c r="T305" s="6">
        <f>ROUND((IF(L305="",'Subscriptions'!$T$2,L305)-J305)/30.44,1)</f>
        <v/>
      </c>
      <c r="U305" s="6">
        <f>IF(AND(P305&lt;'Subscriptions'!$T$4,O305&lt;='Subscriptions'!$T$5),1,0)</f>
        <v/>
      </c>
    </row>
    <row r="306">
      <c r="A306" s="6" t="inlineStr">
        <is>
          <t>CUST-0305</t>
        </is>
      </c>
      <c r="B306" s="6" t="inlineStr">
        <is>
          <t>Business</t>
        </is>
      </c>
      <c r="C306" s="6" t="inlineStr">
        <is>
          <t>Monthly</t>
        </is>
      </c>
      <c r="D306" s="6" t="inlineStr">
        <is>
          <t>Manufacturing</t>
        </is>
      </c>
      <c r="E306" s="6" t="inlineStr">
        <is>
          <t>201-500</t>
        </is>
      </c>
      <c r="F306" s="6" t="n">
        <v>99</v>
      </c>
      <c r="G306" s="6" t="n">
        <v>3124.3</v>
      </c>
      <c r="H306" s="6" t="inlineStr">
        <is>
          <t>Partner</t>
        </is>
      </c>
      <c r="I306" s="6" t="inlineStr">
        <is>
          <t>North America</t>
        </is>
      </c>
      <c r="J306" s="7" t="n">
        <v>45712</v>
      </c>
      <c r="K306" s="6" t="inlineStr">
        <is>
          <t>No</t>
        </is>
      </c>
      <c r="L306" s="7" t="n"/>
      <c r="M306" s="6" t="n"/>
      <c r="N306" s="6" t="n">
        <v>8</v>
      </c>
      <c r="O306" s="6" t="n">
        <v>7</v>
      </c>
      <c r="P306" s="6" t="n">
        <v>17</v>
      </c>
      <c r="Q306" s="6" t="inlineStr">
        <is>
          <t>No</t>
        </is>
      </c>
      <c r="R306" s="6">
        <f>IF(K306="Yes",1,0)</f>
        <v/>
      </c>
      <c r="S306" s="6">
        <f>IF(K306="No",1,0)</f>
        <v/>
      </c>
      <c r="T306" s="6">
        <f>ROUND((IF(L306="",'Subscriptions'!$T$2,L306)-J306)/30.44,1)</f>
        <v/>
      </c>
      <c r="U306" s="6">
        <f>IF(AND(P306&lt;'Subscriptions'!$T$4,O306&lt;='Subscriptions'!$T$5),1,0)</f>
        <v/>
      </c>
    </row>
    <row r="307">
      <c r="A307" s="6" t="inlineStr">
        <is>
          <t>CUST-0306</t>
        </is>
      </c>
      <c r="B307" s="6" t="inlineStr">
        <is>
          <t>Business</t>
        </is>
      </c>
      <c r="C307" s="6" t="inlineStr">
        <is>
          <t>Monthly</t>
        </is>
      </c>
      <c r="D307" s="6" t="inlineStr">
        <is>
          <t>Legal</t>
        </is>
      </c>
      <c r="E307" s="6" t="inlineStr">
        <is>
          <t>11-50</t>
        </is>
      </c>
      <c r="F307" s="6" t="n">
        <v>26</v>
      </c>
      <c r="G307" s="6" t="n">
        <v>945.25</v>
      </c>
      <c r="H307" s="6" t="inlineStr">
        <is>
          <t>Organic Search</t>
        </is>
      </c>
      <c r="I307" s="6" t="inlineStr">
        <is>
          <t>Europe</t>
        </is>
      </c>
      <c r="J307" s="7" t="n">
        <v>45641</v>
      </c>
      <c r="K307" s="6" t="inlineStr">
        <is>
          <t>No</t>
        </is>
      </c>
      <c r="L307" s="7" t="n"/>
      <c r="M307" s="6" t="n"/>
      <c r="N307" s="6" t="n">
        <v>4</v>
      </c>
      <c r="O307" s="6" t="n">
        <v>6</v>
      </c>
      <c r="P307" s="6" t="n">
        <v>41</v>
      </c>
      <c r="Q307" s="6" t="inlineStr">
        <is>
          <t>No</t>
        </is>
      </c>
      <c r="R307" s="6">
        <f>IF(K307="Yes",1,0)</f>
        <v/>
      </c>
      <c r="S307" s="6">
        <f>IF(K307="No",1,0)</f>
        <v/>
      </c>
      <c r="T307" s="6">
        <f>ROUND((IF(L307="",'Subscriptions'!$T$2,L307)-J307)/30.44,1)</f>
        <v/>
      </c>
      <c r="U307" s="6">
        <f>IF(AND(P307&lt;'Subscriptions'!$T$4,O307&lt;='Subscriptions'!$T$5),1,0)</f>
        <v/>
      </c>
    </row>
    <row r="308">
      <c r="A308" s="6" t="inlineStr">
        <is>
          <t>CUST-0307</t>
        </is>
      </c>
      <c r="B308" s="6" t="inlineStr">
        <is>
          <t>Enterprise</t>
        </is>
      </c>
      <c r="C308" s="6" t="inlineStr">
        <is>
          <t>Annual</t>
        </is>
      </c>
      <c r="D308" s="6" t="inlineStr">
        <is>
          <t>Manufacturing</t>
        </is>
      </c>
      <c r="E308" s="6" t="inlineStr">
        <is>
          <t>51-200</t>
        </is>
      </c>
      <c r="F308" s="6" t="n">
        <v>50</v>
      </c>
      <c r="G308" s="6" t="n">
        <v>3541.65</v>
      </c>
      <c r="H308" s="6" t="inlineStr">
        <is>
          <t>Organic Search</t>
        </is>
      </c>
      <c r="I308" s="6" t="inlineStr">
        <is>
          <t>North America</t>
        </is>
      </c>
      <c r="J308" s="7" t="n">
        <v>45697</v>
      </c>
      <c r="K308" s="6" t="inlineStr">
        <is>
          <t>No</t>
        </is>
      </c>
      <c r="L308" s="7" t="n"/>
      <c r="M308" s="6" t="n"/>
      <c r="N308" s="6" t="n">
        <v>9</v>
      </c>
      <c r="O308" s="6" t="n">
        <v>9</v>
      </c>
      <c r="P308" s="6" t="n">
        <v>36</v>
      </c>
      <c r="Q308" s="6" t="inlineStr">
        <is>
          <t>No</t>
        </is>
      </c>
      <c r="R308" s="6">
        <f>IF(K308="Yes",1,0)</f>
        <v/>
      </c>
      <c r="S308" s="6">
        <f>IF(K308="No",1,0)</f>
        <v/>
      </c>
      <c r="T308" s="6">
        <f>ROUND((IF(L308="",'Subscriptions'!$T$2,L308)-J308)/30.44,1)</f>
        <v/>
      </c>
      <c r="U308" s="6">
        <f>IF(AND(P308&lt;'Subscriptions'!$T$4,O308&lt;='Subscriptions'!$T$5),1,0)</f>
        <v/>
      </c>
    </row>
    <row r="309">
      <c r="A309" s="6" t="inlineStr">
        <is>
          <t>CUST-0308</t>
        </is>
      </c>
      <c r="B309" s="6" t="inlineStr">
        <is>
          <t>Business</t>
        </is>
      </c>
      <c r="C309" s="6" t="inlineStr">
        <is>
          <t>Annual</t>
        </is>
      </c>
      <c r="D309" s="6" t="inlineStr">
        <is>
          <t>Consulting</t>
        </is>
      </c>
      <c r="E309" s="6" t="inlineStr">
        <is>
          <t>11-50</t>
        </is>
      </c>
      <c r="F309" s="6" t="n">
        <v>21</v>
      </c>
      <c r="G309" s="6" t="n">
        <v>676.6</v>
      </c>
      <c r="H309" s="6" t="inlineStr">
        <is>
          <t>Paid Ads</t>
        </is>
      </c>
      <c r="I309" s="6" t="inlineStr">
        <is>
          <t>North America</t>
        </is>
      </c>
      <c r="J309" s="7" t="n">
        <v>45920</v>
      </c>
      <c r="K309" s="6" t="inlineStr">
        <is>
          <t>No</t>
        </is>
      </c>
      <c r="L309" s="7" t="n"/>
      <c r="M309" s="6" t="n"/>
      <c r="N309" s="6" t="n">
        <v>0</v>
      </c>
      <c r="O309" s="6" t="n">
        <v>8</v>
      </c>
      <c r="P309" s="6" t="n">
        <v>91</v>
      </c>
      <c r="Q309" s="6" t="inlineStr">
        <is>
          <t>No</t>
        </is>
      </c>
      <c r="R309" s="6">
        <f>IF(K309="Yes",1,0)</f>
        <v/>
      </c>
      <c r="S309" s="6">
        <f>IF(K309="No",1,0)</f>
        <v/>
      </c>
      <c r="T309" s="6">
        <f>ROUND((IF(L309="",'Subscriptions'!$T$2,L309)-J309)/30.44,1)</f>
        <v/>
      </c>
      <c r="U309" s="6">
        <f>IF(AND(P309&lt;'Subscriptions'!$T$4,O309&lt;='Subscriptions'!$T$5),1,0)</f>
        <v/>
      </c>
    </row>
    <row r="310">
      <c r="A310" s="6" t="inlineStr">
        <is>
          <t>CUST-0309</t>
        </is>
      </c>
      <c r="B310" s="6" t="inlineStr">
        <is>
          <t>Starter</t>
        </is>
      </c>
      <c r="C310" s="6" t="inlineStr">
        <is>
          <t>Annual</t>
        </is>
      </c>
      <c r="D310" s="6" t="inlineStr">
        <is>
          <t>Manufacturing</t>
        </is>
      </c>
      <c r="E310" s="6" t="inlineStr">
        <is>
          <t>1-10</t>
        </is>
      </c>
      <c r="F310" s="6" t="n">
        <v>7</v>
      </c>
      <c r="G310" s="6" t="n">
        <v>46.83</v>
      </c>
      <c r="H310" s="6" t="inlineStr">
        <is>
          <t>Paid Ads</t>
        </is>
      </c>
      <c r="I310" s="6" t="inlineStr">
        <is>
          <t>North America</t>
        </is>
      </c>
      <c r="J310" s="7" t="n">
        <v>45172</v>
      </c>
      <c r="K310" s="6" t="inlineStr">
        <is>
          <t>Yes</t>
        </is>
      </c>
      <c r="L310" s="7" t="n">
        <v>45300</v>
      </c>
      <c r="M310" s="6" t="inlineStr">
        <is>
          <t>Poor Support</t>
        </is>
      </c>
      <c r="N310" s="6" t="n">
        <v>5</v>
      </c>
      <c r="O310" s="6" t="n">
        <v>2</v>
      </c>
      <c r="P310" s="6" t="n">
        <v>41</v>
      </c>
      <c r="Q310" s="6" t="inlineStr">
        <is>
          <t>No</t>
        </is>
      </c>
      <c r="R310" s="6">
        <f>IF(K310="Yes",1,0)</f>
        <v/>
      </c>
      <c r="S310" s="6">
        <f>IF(K310="No",1,0)</f>
        <v/>
      </c>
      <c r="T310" s="6">
        <f>ROUND((IF(L310="",'Subscriptions'!$T$2,L310)-J310)/30.44,1)</f>
        <v/>
      </c>
      <c r="U310" s="6">
        <f>IF(AND(P310&lt;'Subscriptions'!$T$4,O310&lt;='Subscriptions'!$T$5),1,0)</f>
        <v/>
      </c>
    </row>
    <row r="311">
      <c r="A311" s="6" t="inlineStr">
        <is>
          <t>CUST-0310</t>
        </is>
      </c>
      <c r="B311" s="6" t="inlineStr">
        <is>
          <t>Starter</t>
        </is>
      </c>
      <c r="C311" s="6" t="inlineStr">
        <is>
          <t>Monthly</t>
        </is>
      </c>
      <c r="D311" s="6" t="inlineStr">
        <is>
          <t>Legal</t>
        </is>
      </c>
      <c r="E311" s="6" t="inlineStr">
        <is>
          <t>201-500</t>
        </is>
      </c>
      <c r="F311" s="6" t="n">
        <v>71</v>
      </c>
      <c r="G311" s="6" t="n">
        <v>333.5</v>
      </c>
      <c r="H311" s="6" t="inlineStr">
        <is>
          <t>Direct Sales</t>
        </is>
      </c>
      <c r="I311" s="6" t="inlineStr">
        <is>
          <t>Europe</t>
        </is>
      </c>
      <c r="J311" s="7" t="n">
        <v>45115</v>
      </c>
      <c r="K311" s="6" t="inlineStr">
        <is>
          <t>Yes</t>
        </is>
      </c>
      <c r="L311" s="7" t="n">
        <v>45333</v>
      </c>
      <c r="M311" s="6" t="inlineStr">
        <is>
          <t>No Longer Needed</t>
        </is>
      </c>
      <c r="N311" s="6" t="n">
        <v>1</v>
      </c>
      <c r="O311" s="6" t="n">
        <v>3</v>
      </c>
      <c r="P311" s="6" t="n">
        <v>14</v>
      </c>
      <c r="Q311" s="6" t="inlineStr">
        <is>
          <t>No</t>
        </is>
      </c>
      <c r="R311" s="6">
        <f>IF(K311="Yes",1,0)</f>
        <v/>
      </c>
      <c r="S311" s="6">
        <f>IF(K311="No",1,0)</f>
        <v/>
      </c>
      <c r="T311" s="6">
        <f>ROUND((IF(L311="",'Subscriptions'!$T$2,L311)-J311)/30.44,1)</f>
        <v/>
      </c>
      <c r="U311" s="6">
        <f>IF(AND(P311&lt;'Subscriptions'!$T$4,O311&lt;='Subscriptions'!$T$5),1,0)</f>
        <v/>
      </c>
    </row>
    <row r="312">
      <c r="A312" s="6" t="inlineStr">
        <is>
          <t>CUST-0311</t>
        </is>
      </c>
      <c r="B312" s="6" t="inlineStr">
        <is>
          <t>Professional</t>
        </is>
      </c>
      <c r="C312" s="6" t="inlineStr">
        <is>
          <t>Annual</t>
        </is>
      </c>
      <c r="D312" s="6" t="inlineStr">
        <is>
          <t>Finance</t>
        </is>
      </c>
      <c r="E312" s="6" t="inlineStr">
        <is>
          <t>500+</t>
        </is>
      </c>
      <c r="F312" s="6" t="n">
        <v>290</v>
      </c>
      <c r="G312" s="6" t="n">
        <v>2978.1</v>
      </c>
      <c r="H312" s="6" t="inlineStr">
        <is>
          <t>Referral</t>
        </is>
      </c>
      <c r="I312" s="6" t="inlineStr">
        <is>
          <t>North America</t>
        </is>
      </c>
      <c r="J312" s="7" t="n">
        <v>45337</v>
      </c>
      <c r="K312" s="6" t="inlineStr">
        <is>
          <t>No</t>
        </is>
      </c>
      <c r="L312" s="7" t="n"/>
      <c r="M312" s="6" t="n"/>
      <c r="N312" s="6" t="n">
        <v>9</v>
      </c>
      <c r="O312" s="6" t="n">
        <v>9</v>
      </c>
      <c r="P312" s="6" t="n">
        <v>39</v>
      </c>
      <c r="Q312" s="6" t="inlineStr">
        <is>
          <t>No</t>
        </is>
      </c>
      <c r="R312" s="6">
        <f>IF(K312="Yes",1,0)</f>
        <v/>
      </c>
      <c r="S312" s="6">
        <f>IF(K312="No",1,0)</f>
        <v/>
      </c>
      <c r="T312" s="6">
        <f>ROUND((IF(L312="",'Subscriptions'!$T$2,L312)-J312)/30.44,1)</f>
        <v/>
      </c>
      <c r="U312" s="6">
        <f>IF(AND(P312&lt;'Subscriptions'!$T$4,O312&lt;='Subscriptions'!$T$5),1,0)</f>
        <v/>
      </c>
    </row>
    <row r="313">
      <c r="A313" s="6" t="inlineStr">
        <is>
          <t>CUST-0312</t>
        </is>
      </c>
      <c r="B313" s="6" t="inlineStr">
        <is>
          <t>Starter</t>
        </is>
      </c>
      <c r="C313" s="6" t="inlineStr">
        <is>
          <t>Annual</t>
        </is>
      </c>
      <c r="D313" s="6" t="inlineStr">
        <is>
          <t>Real Estate</t>
        </is>
      </c>
      <c r="E313" s="6" t="inlineStr">
        <is>
          <t>201-500</t>
        </is>
      </c>
      <c r="F313" s="6" t="n">
        <v>36</v>
      </c>
      <c r="G313" s="6" t="n">
        <v>154.06</v>
      </c>
      <c r="H313" s="6" t="inlineStr">
        <is>
          <t>Partner</t>
        </is>
      </c>
      <c r="I313" s="6" t="inlineStr">
        <is>
          <t>Asia Pacific</t>
        </is>
      </c>
      <c r="J313" s="7" t="n">
        <v>45357</v>
      </c>
      <c r="K313" s="6" t="inlineStr">
        <is>
          <t>Yes</t>
        </is>
      </c>
      <c r="L313" s="7" t="n">
        <v>45536</v>
      </c>
      <c r="M313" s="6" t="inlineStr">
        <is>
          <t>Switched Competitor</t>
        </is>
      </c>
      <c r="N313" s="6" t="n">
        <v>4</v>
      </c>
      <c r="O313" s="6" t="n">
        <v>5</v>
      </c>
      <c r="P313" s="6" t="n">
        <v>42</v>
      </c>
      <c r="Q313" s="6" t="inlineStr">
        <is>
          <t>No</t>
        </is>
      </c>
      <c r="R313" s="6">
        <f>IF(K313="Yes",1,0)</f>
        <v/>
      </c>
      <c r="S313" s="6">
        <f>IF(K313="No",1,0)</f>
        <v/>
      </c>
      <c r="T313" s="6">
        <f>ROUND((IF(L313="",'Subscriptions'!$T$2,L313)-J313)/30.44,1)</f>
        <v/>
      </c>
      <c r="U313" s="6">
        <f>IF(AND(P313&lt;'Subscriptions'!$T$4,O313&lt;='Subscriptions'!$T$5),1,0)</f>
        <v/>
      </c>
    </row>
    <row r="314">
      <c r="A314" s="6" t="inlineStr">
        <is>
          <t>CUST-0313</t>
        </is>
      </c>
      <c r="B314" s="6" t="inlineStr">
        <is>
          <t>Starter</t>
        </is>
      </c>
      <c r="C314" s="6" t="inlineStr">
        <is>
          <t>Monthly</t>
        </is>
      </c>
      <c r="D314" s="6" t="inlineStr">
        <is>
          <t>Education</t>
        </is>
      </c>
      <c r="E314" s="6" t="inlineStr">
        <is>
          <t>51-200</t>
        </is>
      </c>
      <c r="F314" s="6" t="n">
        <v>74</v>
      </c>
      <c r="G314" s="6" t="n">
        <v>346.55</v>
      </c>
      <c r="H314" s="6" t="inlineStr">
        <is>
          <t>Organic Search</t>
        </is>
      </c>
      <c r="I314" s="6" t="inlineStr">
        <is>
          <t>Europe</t>
        </is>
      </c>
      <c r="J314" s="7" t="n">
        <v>45679</v>
      </c>
      <c r="K314" s="6" t="inlineStr">
        <is>
          <t>No</t>
        </is>
      </c>
      <c r="L314" s="7" t="n"/>
      <c r="M314" s="6" t="n"/>
      <c r="N314" s="6" t="n">
        <v>3</v>
      </c>
      <c r="O314" s="6" t="n">
        <v>4</v>
      </c>
      <c r="P314" s="6" t="n">
        <v>18</v>
      </c>
      <c r="Q314" s="6" t="inlineStr">
        <is>
          <t>No</t>
        </is>
      </c>
      <c r="R314" s="6">
        <f>IF(K314="Yes",1,0)</f>
        <v/>
      </c>
      <c r="S314" s="6">
        <f>IF(K314="No",1,0)</f>
        <v/>
      </c>
      <c r="T314" s="6">
        <f>ROUND((IF(L314="",'Subscriptions'!$T$2,L314)-J314)/30.44,1)</f>
        <v/>
      </c>
      <c r="U314" s="6">
        <f>IF(AND(P314&lt;'Subscriptions'!$T$4,O314&lt;='Subscriptions'!$T$5),1,0)</f>
        <v/>
      </c>
    </row>
    <row r="315">
      <c r="A315" s="6" t="inlineStr">
        <is>
          <t>CUST-0314</t>
        </is>
      </c>
      <c r="B315" s="6" t="inlineStr">
        <is>
          <t>Starter</t>
        </is>
      </c>
      <c r="C315" s="6" t="inlineStr">
        <is>
          <t>Annual</t>
        </is>
      </c>
      <c r="D315" s="6" t="inlineStr">
        <is>
          <t>Media</t>
        </is>
      </c>
      <c r="E315" s="6" t="inlineStr">
        <is>
          <t>1-10</t>
        </is>
      </c>
      <c r="F315" s="6" t="n">
        <v>8</v>
      </c>
      <c r="G315" s="6" t="n">
        <v>50.53</v>
      </c>
      <c r="H315" s="6" t="inlineStr">
        <is>
          <t>Referral</t>
        </is>
      </c>
      <c r="I315" s="6" t="inlineStr">
        <is>
          <t>Latin America</t>
        </is>
      </c>
      <c r="J315" s="7" t="n">
        <v>45572</v>
      </c>
      <c r="K315" s="6" t="inlineStr">
        <is>
          <t>No</t>
        </is>
      </c>
      <c r="L315" s="7" t="n"/>
      <c r="M315" s="6" t="n"/>
      <c r="N315" s="6" t="n">
        <v>3</v>
      </c>
      <c r="O315" s="6" t="n">
        <v>2</v>
      </c>
      <c r="P315" s="6" t="n">
        <v>22</v>
      </c>
      <c r="Q315" s="6" t="inlineStr">
        <is>
          <t>No</t>
        </is>
      </c>
      <c r="R315" s="6">
        <f>IF(K315="Yes",1,0)</f>
        <v/>
      </c>
      <c r="S315" s="6">
        <f>IF(K315="No",1,0)</f>
        <v/>
      </c>
      <c r="T315" s="6">
        <f>ROUND((IF(L315="",'Subscriptions'!$T$2,L315)-J315)/30.44,1)</f>
        <v/>
      </c>
      <c r="U315" s="6">
        <f>IF(AND(P315&lt;'Subscriptions'!$T$4,O315&lt;='Subscriptions'!$T$5),1,0)</f>
        <v/>
      </c>
    </row>
    <row r="316">
      <c r="A316" s="6" t="inlineStr">
        <is>
          <t>CUST-0315</t>
        </is>
      </c>
      <c r="B316" s="6" t="inlineStr">
        <is>
          <t>Starter</t>
        </is>
      </c>
      <c r="C316" s="6" t="inlineStr">
        <is>
          <t>Monthly</t>
        </is>
      </c>
      <c r="D316" s="6" t="inlineStr">
        <is>
          <t>Education</t>
        </is>
      </c>
      <c r="E316" s="6" t="inlineStr">
        <is>
          <t>11-50</t>
        </is>
      </c>
      <c r="F316" s="6" t="n">
        <v>13</v>
      </c>
      <c r="G316" s="6" t="n">
        <v>81.2</v>
      </c>
      <c r="H316" s="6" t="inlineStr">
        <is>
          <t>Paid Ads</t>
        </is>
      </c>
      <c r="I316" s="6" t="inlineStr">
        <is>
          <t>Europe</t>
        </is>
      </c>
      <c r="J316" s="7" t="n">
        <v>45739</v>
      </c>
      <c r="K316" s="6" t="inlineStr">
        <is>
          <t>Yes</t>
        </is>
      </c>
      <c r="L316" s="7" t="n">
        <v>45920</v>
      </c>
      <c r="M316" s="6" t="inlineStr">
        <is>
          <t>Company Closed</t>
        </is>
      </c>
      <c r="N316" s="6" t="n">
        <v>12</v>
      </c>
      <c r="O316" s="6" t="n">
        <v>3</v>
      </c>
      <c r="P316" s="6" t="n">
        <v>29</v>
      </c>
      <c r="Q316" s="6" t="inlineStr">
        <is>
          <t>No</t>
        </is>
      </c>
      <c r="R316" s="6">
        <f>IF(K316="Yes",1,0)</f>
        <v/>
      </c>
      <c r="S316" s="6">
        <f>IF(K316="No",1,0)</f>
        <v/>
      </c>
      <c r="T316" s="6">
        <f>ROUND((IF(L316="",'Subscriptions'!$T$2,L316)-J316)/30.44,1)</f>
        <v/>
      </c>
      <c r="U316" s="6">
        <f>IF(AND(P316&lt;'Subscriptions'!$T$4,O316&lt;='Subscriptions'!$T$5),1,0)</f>
        <v/>
      </c>
    </row>
    <row r="317">
      <c r="A317" s="6" t="inlineStr">
        <is>
          <t>CUST-0316</t>
        </is>
      </c>
      <c r="B317" s="6" t="inlineStr">
        <is>
          <t>Professional</t>
        </is>
      </c>
      <c r="C317" s="6" t="inlineStr">
        <is>
          <t>Annual</t>
        </is>
      </c>
      <c r="D317" s="6" t="inlineStr">
        <is>
          <t>Finance</t>
        </is>
      </c>
      <c r="E317" s="6" t="inlineStr">
        <is>
          <t>11-50</t>
        </is>
      </c>
      <c r="F317" s="6" t="n">
        <v>33</v>
      </c>
      <c r="G317" s="6" t="n">
        <v>389.47</v>
      </c>
      <c r="H317" s="6" t="inlineStr">
        <is>
          <t>Partner</t>
        </is>
      </c>
      <c r="I317" s="6" t="inlineStr">
        <is>
          <t>Latin America</t>
        </is>
      </c>
      <c r="J317" s="7" t="n">
        <v>44835</v>
      </c>
      <c r="K317" s="6" t="inlineStr">
        <is>
          <t>Yes</t>
        </is>
      </c>
      <c r="L317" s="7" t="n">
        <v>45906</v>
      </c>
      <c r="M317" s="6" t="inlineStr">
        <is>
          <t>Poor Support</t>
        </is>
      </c>
      <c r="N317" s="6" t="n">
        <v>11</v>
      </c>
      <c r="O317" s="6" t="n">
        <v>6</v>
      </c>
      <c r="P317" s="6" t="n">
        <v>37</v>
      </c>
      <c r="Q317" s="6" t="inlineStr">
        <is>
          <t>No</t>
        </is>
      </c>
      <c r="R317" s="6">
        <f>IF(K317="Yes",1,0)</f>
        <v/>
      </c>
      <c r="S317" s="6">
        <f>IF(K317="No",1,0)</f>
        <v/>
      </c>
      <c r="T317" s="6">
        <f>ROUND((IF(L317="",'Subscriptions'!$T$2,L317)-J317)/30.44,1)</f>
        <v/>
      </c>
      <c r="U317" s="6">
        <f>IF(AND(P317&lt;'Subscriptions'!$T$4,O317&lt;='Subscriptions'!$T$5),1,0)</f>
        <v/>
      </c>
    </row>
    <row r="318">
      <c r="A318" s="6" t="inlineStr">
        <is>
          <t>CUST-0317</t>
        </is>
      </c>
      <c r="B318" s="6" t="inlineStr">
        <is>
          <t>Starter</t>
        </is>
      </c>
      <c r="C318" s="6" t="inlineStr">
        <is>
          <t>Monthly</t>
        </is>
      </c>
      <c r="D318" s="6" t="inlineStr">
        <is>
          <t>Finance</t>
        </is>
      </c>
      <c r="E318" s="6" t="inlineStr">
        <is>
          <t>11-50</t>
        </is>
      </c>
      <c r="F318" s="6" t="n">
        <v>31</v>
      </c>
      <c r="G318" s="6" t="n">
        <v>159.5</v>
      </c>
      <c r="H318" s="6" t="inlineStr">
        <is>
          <t>Partner</t>
        </is>
      </c>
      <c r="I318" s="6" t="inlineStr">
        <is>
          <t>North America</t>
        </is>
      </c>
      <c r="J318" s="7" t="n">
        <v>45635</v>
      </c>
      <c r="K318" s="6" t="inlineStr">
        <is>
          <t>Yes</t>
        </is>
      </c>
      <c r="L318" s="7" t="n">
        <v>45758</v>
      </c>
      <c r="M318" s="6" t="inlineStr">
        <is>
          <t>Price Too High</t>
        </is>
      </c>
      <c r="N318" s="6" t="n">
        <v>6</v>
      </c>
      <c r="O318" s="6" t="n">
        <v>3</v>
      </c>
      <c r="P318" s="6" t="n">
        <v>26</v>
      </c>
      <c r="Q318" s="6" t="inlineStr">
        <is>
          <t>No</t>
        </is>
      </c>
      <c r="R318" s="6">
        <f>IF(K318="Yes",1,0)</f>
        <v/>
      </c>
      <c r="S318" s="6">
        <f>IF(K318="No",1,0)</f>
        <v/>
      </c>
      <c r="T318" s="6">
        <f>ROUND((IF(L318="",'Subscriptions'!$T$2,L318)-J318)/30.44,1)</f>
        <v/>
      </c>
      <c r="U318" s="6">
        <f>IF(AND(P318&lt;'Subscriptions'!$T$4,O318&lt;='Subscriptions'!$T$5),1,0)</f>
        <v/>
      </c>
    </row>
    <row r="319">
      <c r="A319" s="6" t="inlineStr">
        <is>
          <t>CUST-0318</t>
        </is>
      </c>
      <c r="B319" s="6" t="inlineStr">
        <is>
          <t>Starter</t>
        </is>
      </c>
      <c r="C319" s="6" t="inlineStr">
        <is>
          <t>Monthly</t>
        </is>
      </c>
      <c r="D319" s="6" t="inlineStr">
        <is>
          <t>Retail</t>
        </is>
      </c>
      <c r="E319" s="6" t="inlineStr">
        <is>
          <t>1-10</t>
        </is>
      </c>
      <c r="F319" s="6" t="n">
        <v>1</v>
      </c>
      <c r="G319" s="6" t="n">
        <v>29</v>
      </c>
      <c r="H319" s="6" t="inlineStr">
        <is>
          <t>Social Media</t>
        </is>
      </c>
      <c r="I319" s="6" t="inlineStr">
        <is>
          <t>Latin America</t>
        </is>
      </c>
      <c r="J319" s="7" t="n">
        <v>45694</v>
      </c>
      <c r="K319" s="6" t="inlineStr">
        <is>
          <t>Yes</t>
        </is>
      </c>
      <c r="L319" s="7" t="n">
        <v>45956</v>
      </c>
      <c r="M319" s="6" t="inlineStr">
        <is>
          <t>Company Closed</t>
        </is>
      </c>
      <c r="N319" s="6" t="n">
        <v>12</v>
      </c>
      <c r="O319" s="6" t="n">
        <v>3</v>
      </c>
      <c r="P319" s="6" t="n">
        <v>30</v>
      </c>
      <c r="Q319" s="6" t="inlineStr">
        <is>
          <t>No</t>
        </is>
      </c>
      <c r="R319" s="6">
        <f>IF(K319="Yes",1,0)</f>
        <v/>
      </c>
      <c r="S319" s="6">
        <f>IF(K319="No",1,0)</f>
        <v/>
      </c>
      <c r="T319" s="6">
        <f>ROUND((IF(L319="",'Subscriptions'!$T$2,L319)-J319)/30.44,1)</f>
        <v/>
      </c>
      <c r="U319" s="6">
        <f>IF(AND(P319&lt;'Subscriptions'!$T$4,O319&lt;='Subscriptions'!$T$5),1,0)</f>
        <v/>
      </c>
    </row>
    <row r="320">
      <c r="A320" s="6" t="inlineStr">
        <is>
          <t>CUST-0319</t>
        </is>
      </c>
      <c r="B320" s="6" t="inlineStr">
        <is>
          <t>Starter</t>
        </is>
      </c>
      <c r="C320" s="6" t="inlineStr">
        <is>
          <t>Annual</t>
        </is>
      </c>
      <c r="D320" s="6" t="inlineStr">
        <is>
          <t>Legal</t>
        </is>
      </c>
      <c r="E320" s="6" t="inlineStr">
        <is>
          <t>51-200</t>
        </is>
      </c>
      <c r="F320" s="6" t="n">
        <v>40</v>
      </c>
      <c r="G320" s="6" t="n">
        <v>168.85</v>
      </c>
      <c r="H320" s="6" t="inlineStr">
        <is>
          <t>Organic Search</t>
        </is>
      </c>
      <c r="I320" s="6" t="inlineStr">
        <is>
          <t>Europe</t>
        </is>
      </c>
      <c r="J320" s="7" t="n">
        <v>44758</v>
      </c>
      <c r="K320" s="6" t="inlineStr">
        <is>
          <t>Yes</t>
        </is>
      </c>
      <c r="L320" s="7" t="n">
        <v>44847</v>
      </c>
      <c r="M320" s="6" t="inlineStr">
        <is>
          <t>Switched Competitor</t>
        </is>
      </c>
      <c r="N320" s="6" t="n">
        <v>14</v>
      </c>
      <c r="O320" s="6" t="n">
        <v>4</v>
      </c>
      <c r="P320" s="6" t="n">
        <v>38</v>
      </c>
      <c r="Q320" s="6" t="inlineStr">
        <is>
          <t>No</t>
        </is>
      </c>
      <c r="R320" s="6">
        <f>IF(K320="Yes",1,0)</f>
        <v/>
      </c>
      <c r="S320" s="6">
        <f>IF(K320="No",1,0)</f>
        <v/>
      </c>
      <c r="T320" s="6">
        <f>ROUND((IF(L320="",'Subscriptions'!$T$2,L320)-J320)/30.44,1)</f>
        <v/>
      </c>
      <c r="U320" s="6">
        <f>IF(AND(P320&lt;'Subscriptions'!$T$4,O320&lt;='Subscriptions'!$T$5),1,0)</f>
        <v/>
      </c>
    </row>
    <row r="321">
      <c r="A321" s="6" t="inlineStr">
        <is>
          <t>CUST-0320</t>
        </is>
      </c>
      <c r="B321" s="6" t="inlineStr">
        <is>
          <t>Professional</t>
        </is>
      </c>
      <c r="C321" s="6" t="inlineStr">
        <is>
          <t>Annual</t>
        </is>
      </c>
      <c r="D321" s="6" t="inlineStr">
        <is>
          <t>Legal</t>
        </is>
      </c>
      <c r="E321" s="6" t="inlineStr">
        <is>
          <t>51-200</t>
        </is>
      </c>
      <c r="F321" s="6" t="n">
        <v>20</v>
      </c>
      <c r="G321" s="6" t="n">
        <v>258.53</v>
      </c>
      <c r="H321" s="6" t="inlineStr">
        <is>
          <t>Organic Search</t>
        </is>
      </c>
      <c r="I321" s="6" t="inlineStr">
        <is>
          <t>Europe</t>
        </is>
      </c>
      <c r="J321" s="7" t="n">
        <v>45279</v>
      </c>
      <c r="K321" s="6" t="inlineStr">
        <is>
          <t>No</t>
        </is>
      </c>
      <c r="L321" s="7" t="n"/>
      <c r="M321" s="6" t="n"/>
      <c r="N321" s="6" t="n">
        <v>10</v>
      </c>
      <c r="O321" s="6" t="n">
        <v>9</v>
      </c>
      <c r="P321" s="6" t="n">
        <v>34</v>
      </c>
      <c r="Q321" s="6" t="inlineStr">
        <is>
          <t>No</t>
        </is>
      </c>
      <c r="R321" s="6">
        <f>IF(K321="Yes",1,0)</f>
        <v/>
      </c>
      <c r="S321" s="6">
        <f>IF(K321="No",1,0)</f>
        <v/>
      </c>
      <c r="T321" s="6">
        <f>ROUND((IF(L321="",'Subscriptions'!$T$2,L321)-J321)/30.44,1)</f>
        <v/>
      </c>
      <c r="U321" s="6">
        <f>IF(AND(P321&lt;'Subscriptions'!$T$4,O321&lt;='Subscriptions'!$T$5),1,0)</f>
        <v/>
      </c>
    </row>
    <row r="322">
      <c r="A322" s="6" t="inlineStr">
        <is>
          <t>CUST-0321</t>
        </is>
      </c>
      <c r="B322" s="6" t="inlineStr">
        <is>
          <t>Professional</t>
        </is>
      </c>
      <c r="C322" s="6" t="inlineStr">
        <is>
          <t>Monthly</t>
        </is>
      </c>
      <c r="D322" s="6" t="inlineStr">
        <is>
          <t>Education</t>
        </is>
      </c>
      <c r="E322" s="6" t="inlineStr">
        <is>
          <t>1-10</t>
        </is>
      </c>
      <c r="F322" s="6" t="n">
        <v>2</v>
      </c>
      <c r="G322" s="6" t="n">
        <v>90.84999999999999</v>
      </c>
      <c r="H322" s="6" t="inlineStr">
        <is>
          <t>Organic Search</t>
        </is>
      </c>
      <c r="I322" s="6" t="inlineStr">
        <is>
          <t>North America</t>
        </is>
      </c>
      <c r="J322" s="7" t="n">
        <v>45727</v>
      </c>
      <c r="K322" s="6" t="inlineStr">
        <is>
          <t>Yes</t>
        </is>
      </c>
      <c r="L322" s="7" t="n">
        <v>45777</v>
      </c>
      <c r="M322" s="6" t="inlineStr">
        <is>
          <t>Company Closed</t>
        </is>
      </c>
      <c r="N322" s="6" t="n">
        <v>8</v>
      </c>
      <c r="O322" s="6" t="n">
        <v>3</v>
      </c>
      <c r="P322" s="6" t="n">
        <v>15</v>
      </c>
      <c r="Q322" s="6" t="inlineStr">
        <is>
          <t>No</t>
        </is>
      </c>
      <c r="R322" s="6">
        <f>IF(K322="Yes",1,0)</f>
        <v/>
      </c>
      <c r="S322" s="6">
        <f>IF(K322="No",1,0)</f>
        <v/>
      </c>
      <c r="T322" s="6">
        <f>ROUND((IF(L322="",'Subscriptions'!$T$2,L322)-J322)/30.44,1)</f>
        <v/>
      </c>
      <c r="U322" s="6">
        <f>IF(AND(P322&lt;'Subscriptions'!$T$4,O322&lt;='Subscriptions'!$T$5),1,0)</f>
        <v/>
      </c>
    </row>
    <row r="323">
      <c r="A323" s="6" t="inlineStr">
        <is>
          <t>CUST-0322</t>
        </is>
      </c>
      <c r="B323" s="6" t="inlineStr">
        <is>
          <t>Professional</t>
        </is>
      </c>
      <c r="C323" s="6" t="inlineStr">
        <is>
          <t>Annual</t>
        </is>
      </c>
      <c r="D323" s="6" t="inlineStr">
        <is>
          <t>Consulting</t>
        </is>
      </c>
      <c r="E323" s="6" t="inlineStr">
        <is>
          <t>51-200</t>
        </is>
      </c>
      <c r="F323" s="6" t="n">
        <v>34</v>
      </c>
      <c r="G323" s="6" t="n">
        <v>399.54</v>
      </c>
      <c r="H323" s="6" t="inlineStr">
        <is>
          <t>Social Media</t>
        </is>
      </c>
      <c r="I323" s="6" t="inlineStr">
        <is>
          <t>North America</t>
        </is>
      </c>
      <c r="J323" s="7" t="n">
        <v>45579</v>
      </c>
      <c r="K323" s="6" t="inlineStr">
        <is>
          <t>Yes</t>
        </is>
      </c>
      <c r="L323" s="7" t="n">
        <v>45637</v>
      </c>
      <c r="M323" s="6" t="inlineStr">
        <is>
          <t>Missing Features</t>
        </is>
      </c>
      <c r="N323" s="6" t="n">
        <v>11</v>
      </c>
      <c r="O323" s="6" t="n">
        <v>6</v>
      </c>
      <c r="P323" s="6" t="n">
        <v>12</v>
      </c>
      <c r="Q323" s="6" t="inlineStr">
        <is>
          <t>No</t>
        </is>
      </c>
      <c r="R323" s="6">
        <f>IF(K323="Yes",1,0)</f>
        <v/>
      </c>
      <c r="S323" s="6">
        <f>IF(K323="No",1,0)</f>
        <v/>
      </c>
      <c r="T323" s="6">
        <f>ROUND((IF(L323="",'Subscriptions'!$T$2,L323)-J323)/30.44,1)</f>
        <v/>
      </c>
      <c r="U323" s="6">
        <f>IF(AND(P323&lt;'Subscriptions'!$T$4,O323&lt;='Subscriptions'!$T$5),1,0)</f>
        <v/>
      </c>
    </row>
    <row r="324">
      <c r="A324" s="6" t="inlineStr">
        <is>
          <t>CUST-0323</t>
        </is>
      </c>
      <c r="B324" s="6" t="inlineStr">
        <is>
          <t>Business</t>
        </is>
      </c>
      <c r="C324" s="6" t="inlineStr">
        <is>
          <t>Monthly</t>
        </is>
      </c>
      <c r="D324" s="6" t="inlineStr">
        <is>
          <t>Media</t>
        </is>
      </c>
      <c r="E324" s="6" t="inlineStr">
        <is>
          <t>1-10</t>
        </is>
      </c>
      <c r="F324" s="6" t="n">
        <v>7</v>
      </c>
      <c r="G324" s="6" t="n">
        <v>378.1</v>
      </c>
      <c r="H324" s="6" t="inlineStr">
        <is>
          <t>Partner</t>
        </is>
      </c>
      <c r="I324" s="6" t="inlineStr">
        <is>
          <t>Asia Pacific</t>
        </is>
      </c>
      <c r="J324" s="7" t="n">
        <v>45217</v>
      </c>
      <c r="K324" s="6" t="inlineStr">
        <is>
          <t>No</t>
        </is>
      </c>
      <c r="L324" s="7" t="n"/>
      <c r="M324" s="6" t="n"/>
      <c r="N324" s="6" t="n">
        <v>5</v>
      </c>
      <c r="O324" s="6" t="n">
        <v>9</v>
      </c>
      <c r="P324" s="6" t="n">
        <v>55</v>
      </c>
      <c r="Q324" s="6" t="inlineStr">
        <is>
          <t>No</t>
        </is>
      </c>
      <c r="R324" s="6">
        <f>IF(K324="Yes",1,0)</f>
        <v/>
      </c>
      <c r="S324" s="6">
        <f>IF(K324="No",1,0)</f>
        <v/>
      </c>
      <c r="T324" s="6">
        <f>ROUND((IF(L324="",'Subscriptions'!$T$2,L324)-J324)/30.44,1)</f>
        <v/>
      </c>
      <c r="U324" s="6">
        <f>IF(AND(P324&lt;'Subscriptions'!$T$4,O324&lt;='Subscriptions'!$T$5),1,0)</f>
        <v/>
      </c>
    </row>
    <row r="325">
      <c r="A325" s="6" t="inlineStr">
        <is>
          <t>CUST-0324</t>
        </is>
      </c>
      <c r="B325" s="6" t="inlineStr">
        <is>
          <t>Starter</t>
        </is>
      </c>
      <c r="C325" s="6" t="inlineStr">
        <is>
          <t>Annual</t>
        </is>
      </c>
      <c r="D325" s="6" t="inlineStr">
        <is>
          <t>Consulting</t>
        </is>
      </c>
      <c r="E325" s="6" t="inlineStr">
        <is>
          <t>51-200</t>
        </is>
      </c>
      <c r="F325" s="6" t="n">
        <v>24</v>
      </c>
      <c r="G325" s="6" t="n">
        <v>109.69</v>
      </c>
      <c r="H325" s="6" t="inlineStr">
        <is>
          <t>Organic Search</t>
        </is>
      </c>
      <c r="I325" s="6" t="inlineStr">
        <is>
          <t>North America</t>
        </is>
      </c>
      <c r="J325" s="7" t="n">
        <v>45973</v>
      </c>
      <c r="K325" s="6" t="inlineStr">
        <is>
          <t>No</t>
        </is>
      </c>
      <c r="L325" s="7" t="n"/>
      <c r="M325" s="6" t="n"/>
      <c r="N325" s="6" t="n">
        <v>7</v>
      </c>
      <c r="O325" s="6" t="n">
        <v>2</v>
      </c>
      <c r="P325" s="6" t="n">
        <v>90</v>
      </c>
      <c r="Q325" s="6" t="inlineStr">
        <is>
          <t>No</t>
        </is>
      </c>
      <c r="R325" s="6">
        <f>IF(K325="Yes",1,0)</f>
        <v/>
      </c>
      <c r="S325" s="6">
        <f>IF(K325="No",1,0)</f>
        <v/>
      </c>
      <c r="T325" s="6">
        <f>ROUND((IF(L325="",'Subscriptions'!$T$2,L325)-J325)/30.44,1)</f>
        <v/>
      </c>
      <c r="U325" s="6">
        <f>IF(AND(P325&lt;'Subscriptions'!$T$4,O325&lt;='Subscriptions'!$T$5),1,0)</f>
        <v/>
      </c>
    </row>
    <row r="326">
      <c r="A326" s="6" t="inlineStr">
        <is>
          <t>CUST-0325</t>
        </is>
      </c>
      <c r="B326" s="6" t="inlineStr">
        <is>
          <t>Professional</t>
        </is>
      </c>
      <c r="C326" s="6" t="inlineStr">
        <is>
          <t>Annual</t>
        </is>
      </c>
      <c r="D326" s="6" t="inlineStr">
        <is>
          <t>Technology</t>
        </is>
      </c>
      <c r="E326" s="6" t="inlineStr">
        <is>
          <t>201-500</t>
        </is>
      </c>
      <c r="F326" s="6" t="n">
        <v>105</v>
      </c>
      <c r="G326" s="6" t="n">
        <v>1114.69</v>
      </c>
      <c r="H326" s="6" t="inlineStr">
        <is>
          <t>Paid Ads</t>
        </is>
      </c>
      <c r="I326" s="6" t="inlineStr">
        <is>
          <t>Europe</t>
        </is>
      </c>
      <c r="J326" s="7" t="n">
        <v>44648</v>
      </c>
      <c r="K326" s="6" t="inlineStr">
        <is>
          <t>Yes</t>
        </is>
      </c>
      <c r="L326" s="7" t="n">
        <v>45194</v>
      </c>
      <c r="M326" s="6" t="inlineStr">
        <is>
          <t>Budget Cuts</t>
        </is>
      </c>
      <c r="N326" s="6" t="n">
        <v>2</v>
      </c>
      <c r="O326" s="6" t="n">
        <v>1</v>
      </c>
      <c r="P326" s="6" t="n">
        <v>15</v>
      </c>
      <c r="Q326" s="6" t="inlineStr">
        <is>
          <t>No</t>
        </is>
      </c>
      <c r="R326" s="6">
        <f>IF(K326="Yes",1,0)</f>
        <v/>
      </c>
      <c r="S326" s="6">
        <f>IF(K326="No",1,0)</f>
        <v/>
      </c>
      <c r="T326" s="6">
        <f>ROUND((IF(L326="",'Subscriptions'!$T$2,L326)-J326)/30.44,1)</f>
        <v/>
      </c>
      <c r="U326" s="6">
        <f>IF(AND(P326&lt;'Subscriptions'!$T$4,O326&lt;='Subscriptions'!$T$5),1,0)</f>
        <v/>
      </c>
    </row>
    <row r="327">
      <c r="A327" s="6" t="inlineStr">
        <is>
          <t>CUST-0326</t>
        </is>
      </c>
      <c r="B327" s="6" t="inlineStr">
        <is>
          <t>Business</t>
        </is>
      </c>
      <c r="C327" s="6" t="inlineStr">
        <is>
          <t>Annual</t>
        </is>
      </c>
      <c r="D327" s="6" t="inlineStr">
        <is>
          <t>Education</t>
        </is>
      </c>
      <c r="E327" s="6" t="inlineStr">
        <is>
          <t>11-50</t>
        </is>
      </c>
      <c r="F327" s="6" t="n">
        <v>10</v>
      </c>
      <c r="G327" s="6" t="n">
        <v>397.5</v>
      </c>
      <c r="H327" s="6" t="inlineStr">
        <is>
          <t>Partner</t>
        </is>
      </c>
      <c r="I327" s="6" t="inlineStr">
        <is>
          <t>North America</t>
        </is>
      </c>
      <c r="J327" s="7" t="n">
        <v>45676</v>
      </c>
      <c r="K327" s="6" t="inlineStr">
        <is>
          <t>No</t>
        </is>
      </c>
      <c r="L327" s="7" t="n"/>
      <c r="M327" s="6" t="n"/>
      <c r="N327" s="6" t="n">
        <v>6</v>
      </c>
      <c r="O327" s="6" t="n">
        <v>9</v>
      </c>
      <c r="P327" s="6" t="n">
        <v>77</v>
      </c>
      <c r="Q327" s="6" t="inlineStr">
        <is>
          <t>Yes</t>
        </is>
      </c>
      <c r="R327" s="6">
        <f>IF(K327="Yes",1,0)</f>
        <v/>
      </c>
      <c r="S327" s="6">
        <f>IF(K327="No",1,0)</f>
        <v/>
      </c>
      <c r="T327" s="6">
        <f>ROUND((IF(L327="",'Subscriptions'!$T$2,L327)-J327)/30.44,1)</f>
        <v/>
      </c>
      <c r="U327" s="6">
        <f>IF(AND(P327&lt;'Subscriptions'!$T$4,O327&lt;='Subscriptions'!$T$5),1,0)</f>
        <v/>
      </c>
    </row>
    <row r="328">
      <c r="A328" s="6" t="inlineStr">
        <is>
          <t>CUST-0327</t>
        </is>
      </c>
      <c r="B328" s="6" t="inlineStr">
        <is>
          <t>Professional</t>
        </is>
      </c>
      <c r="C328" s="6" t="inlineStr">
        <is>
          <t>Monthly</t>
        </is>
      </c>
      <c r="D328" s="6" t="inlineStr">
        <is>
          <t>Consulting</t>
        </is>
      </c>
      <c r="E328" s="6" t="inlineStr">
        <is>
          <t>11-50</t>
        </is>
      </c>
      <c r="F328" s="6" t="n">
        <v>15</v>
      </c>
      <c r="G328" s="6" t="n">
        <v>244.9</v>
      </c>
      <c r="H328" s="6" t="inlineStr">
        <is>
          <t>Partner</t>
        </is>
      </c>
      <c r="I328" s="6" t="inlineStr">
        <is>
          <t>Asia Pacific</t>
        </is>
      </c>
      <c r="J328" s="7" t="n">
        <v>44685</v>
      </c>
      <c r="K328" s="6" t="inlineStr">
        <is>
          <t>Yes</t>
        </is>
      </c>
      <c r="L328" s="7" t="n">
        <v>44737</v>
      </c>
      <c r="M328" s="6" t="inlineStr">
        <is>
          <t>Company Closed</t>
        </is>
      </c>
      <c r="N328" s="6" t="n">
        <v>14</v>
      </c>
      <c r="O328" s="6" t="n">
        <v>1</v>
      </c>
      <c r="P328" s="6" t="n">
        <v>15</v>
      </c>
      <c r="Q328" s="6" t="inlineStr">
        <is>
          <t>No</t>
        </is>
      </c>
      <c r="R328" s="6">
        <f>IF(K328="Yes",1,0)</f>
        <v/>
      </c>
      <c r="S328" s="6">
        <f>IF(K328="No",1,0)</f>
        <v/>
      </c>
      <c r="T328" s="6">
        <f>ROUND((IF(L328="",'Subscriptions'!$T$2,L328)-J328)/30.44,1)</f>
        <v/>
      </c>
      <c r="U328" s="6">
        <f>IF(AND(P328&lt;'Subscriptions'!$T$4,O328&lt;='Subscriptions'!$T$5),1,0)</f>
        <v/>
      </c>
    </row>
    <row r="329">
      <c r="A329" s="6" t="inlineStr">
        <is>
          <t>CUST-0328</t>
        </is>
      </c>
      <c r="B329" s="6" t="inlineStr">
        <is>
          <t>Professional</t>
        </is>
      </c>
      <c r="C329" s="6" t="inlineStr">
        <is>
          <t>Monthly</t>
        </is>
      </c>
      <c r="D329" s="6" t="inlineStr">
        <is>
          <t>Technology</t>
        </is>
      </c>
      <c r="E329" s="6" t="inlineStr">
        <is>
          <t>11-50</t>
        </is>
      </c>
      <c r="F329" s="6" t="n">
        <v>13</v>
      </c>
      <c r="G329" s="6" t="n">
        <v>221.2</v>
      </c>
      <c r="H329" s="6" t="inlineStr">
        <is>
          <t>Paid Ads</t>
        </is>
      </c>
      <c r="I329" s="6" t="inlineStr">
        <is>
          <t>Europe</t>
        </is>
      </c>
      <c r="J329" s="7" t="n">
        <v>45534</v>
      </c>
      <c r="K329" s="6" t="inlineStr">
        <is>
          <t>No</t>
        </is>
      </c>
      <c r="L329" s="7" t="n"/>
      <c r="M329" s="6" t="n"/>
      <c r="N329" s="6" t="n">
        <v>2</v>
      </c>
      <c r="O329" s="6" t="n">
        <v>4</v>
      </c>
      <c r="P329" s="6" t="n">
        <v>71</v>
      </c>
      <c r="Q329" s="6" t="inlineStr">
        <is>
          <t>No</t>
        </is>
      </c>
      <c r="R329" s="6">
        <f>IF(K329="Yes",1,0)</f>
        <v/>
      </c>
      <c r="S329" s="6">
        <f>IF(K329="No",1,0)</f>
        <v/>
      </c>
      <c r="T329" s="6">
        <f>ROUND((IF(L329="",'Subscriptions'!$T$2,L329)-J329)/30.44,1)</f>
        <v/>
      </c>
      <c r="U329" s="6">
        <f>IF(AND(P329&lt;'Subscriptions'!$T$4,O329&lt;='Subscriptions'!$T$5),1,0)</f>
        <v/>
      </c>
    </row>
    <row r="330">
      <c r="A330" s="6" t="inlineStr">
        <is>
          <t>CUST-0329</t>
        </is>
      </c>
      <c r="B330" s="6" t="inlineStr">
        <is>
          <t>Starter</t>
        </is>
      </c>
      <c r="C330" s="6" t="inlineStr">
        <is>
          <t>Monthly</t>
        </is>
      </c>
      <c r="D330" s="6" t="inlineStr">
        <is>
          <t>Legal</t>
        </is>
      </c>
      <c r="E330" s="6" t="inlineStr">
        <is>
          <t>500+</t>
        </is>
      </c>
      <c r="F330" s="6" t="n">
        <v>297</v>
      </c>
      <c r="G330" s="6" t="n">
        <v>1316.6</v>
      </c>
      <c r="H330" s="6" t="inlineStr">
        <is>
          <t>Partner</t>
        </is>
      </c>
      <c r="I330" s="6" t="inlineStr">
        <is>
          <t>Latin America</t>
        </is>
      </c>
      <c r="J330" s="7" t="n">
        <v>46002</v>
      </c>
      <c r="K330" s="6" t="inlineStr">
        <is>
          <t>No</t>
        </is>
      </c>
      <c r="L330" s="7" t="n"/>
      <c r="M330" s="6" t="n"/>
      <c r="N330" s="6" t="n">
        <v>7</v>
      </c>
      <c r="O330" s="6" t="n">
        <v>4</v>
      </c>
      <c r="P330" s="6" t="n">
        <v>44</v>
      </c>
      <c r="Q330" s="6" t="inlineStr">
        <is>
          <t>No</t>
        </is>
      </c>
      <c r="R330" s="6">
        <f>IF(K330="Yes",1,0)</f>
        <v/>
      </c>
      <c r="S330" s="6">
        <f>IF(K330="No",1,0)</f>
        <v/>
      </c>
      <c r="T330" s="6">
        <f>ROUND((IF(L330="",'Subscriptions'!$T$2,L330)-J330)/30.44,1)</f>
        <v/>
      </c>
      <c r="U330" s="6">
        <f>IF(AND(P330&lt;'Subscriptions'!$T$4,O330&lt;='Subscriptions'!$T$5),1,0)</f>
        <v/>
      </c>
    </row>
    <row r="331">
      <c r="A331" s="6" t="inlineStr">
        <is>
          <t>CUST-0330</t>
        </is>
      </c>
      <c r="B331" s="6" t="inlineStr">
        <is>
          <t>Professional</t>
        </is>
      </c>
      <c r="C331" s="6" t="inlineStr">
        <is>
          <t>Monthly</t>
        </is>
      </c>
      <c r="D331" s="6" t="inlineStr">
        <is>
          <t>Retail</t>
        </is>
      </c>
      <c r="E331" s="6" t="inlineStr">
        <is>
          <t>51-200</t>
        </is>
      </c>
      <c r="F331" s="6" t="n">
        <v>51</v>
      </c>
      <c r="G331" s="6" t="n">
        <v>671.5</v>
      </c>
      <c r="H331" s="6" t="inlineStr">
        <is>
          <t>Direct Sales</t>
        </is>
      </c>
      <c r="I331" s="6" t="inlineStr">
        <is>
          <t>Asia Pacific</t>
        </is>
      </c>
      <c r="J331" s="7" t="n">
        <v>45368</v>
      </c>
      <c r="K331" s="6" t="inlineStr">
        <is>
          <t>No</t>
        </is>
      </c>
      <c r="L331" s="7" t="n"/>
      <c r="M331" s="6" t="n"/>
      <c r="N331" s="6" t="n">
        <v>7</v>
      </c>
      <c r="O331" s="6" t="n">
        <v>4</v>
      </c>
      <c r="P331" s="6" t="n">
        <v>84</v>
      </c>
      <c r="Q331" s="6" t="inlineStr">
        <is>
          <t>No</t>
        </is>
      </c>
      <c r="R331" s="6">
        <f>IF(K331="Yes",1,0)</f>
        <v/>
      </c>
      <c r="S331" s="6">
        <f>IF(K331="No",1,0)</f>
        <v/>
      </c>
      <c r="T331" s="6">
        <f>ROUND((IF(L331="",'Subscriptions'!$T$2,L331)-J331)/30.44,1)</f>
        <v/>
      </c>
      <c r="U331" s="6">
        <f>IF(AND(P331&lt;'Subscriptions'!$T$4,O331&lt;='Subscriptions'!$T$5),1,0)</f>
        <v/>
      </c>
    </row>
    <row r="332">
      <c r="A332" s="6" t="inlineStr">
        <is>
          <t>CUST-0331</t>
        </is>
      </c>
      <c r="B332" s="6" t="inlineStr">
        <is>
          <t>Professional</t>
        </is>
      </c>
      <c r="C332" s="6" t="inlineStr">
        <is>
          <t>Monthly</t>
        </is>
      </c>
      <c r="D332" s="6" t="inlineStr">
        <is>
          <t>Education</t>
        </is>
      </c>
      <c r="E332" s="6" t="inlineStr">
        <is>
          <t>51-200</t>
        </is>
      </c>
      <c r="F332" s="6" t="n">
        <v>30</v>
      </c>
      <c r="G332" s="6" t="n">
        <v>422.65</v>
      </c>
      <c r="H332" s="6" t="inlineStr">
        <is>
          <t>Social Media</t>
        </is>
      </c>
      <c r="I332" s="6" t="inlineStr">
        <is>
          <t>North America</t>
        </is>
      </c>
      <c r="J332" s="7" t="n">
        <v>45821</v>
      </c>
      <c r="K332" s="6" t="inlineStr">
        <is>
          <t>No</t>
        </is>
      </c>
      <c r="L332" s="7" t="n"/>
      <c r="M332" s="6" t="n"/>
      <c r="N332" s="6" t="n">
        <v>11</v>
      </c>
      <c r="O332" s="6" t="n">
        <v>5</v>
      </c>
      <c r="P332" s="6" t="n">
        <v>60</v>
      </c>
      <c r="Q332" s="6" t="inlineStr">
        <is>
          <t>No</t>
        </is>
      </c>
      <c r="R332" s="6">
        <f>IF(K332="Yes",1,0)</f>
        <v/>
      </c>
      <c r="S332" s="6">
        <f>IF(K332="No",1,0)</f>
        <v/>
      </c>
      <c r="T332" s="6">
        <f>ROUND((IF(L332="",'Subscriptions'!$T$2,L332)-J332)/30.44,1)</f>
        <v/>
      </c>
      <c r="U332" s="6">
        <f>IF(AND(P332&lt;'Subscriptions'!$T$4,O332&lt;='Subscriptions'!$T$5),1,0)</f>
        <v/>
      </c>
    </row>
    <row r="333">
      <c r="A333" s="6" t="inlineStr">
        <is>
          <t>CUST-0332</t>
        </is>
      </c>
      <c r="B333" s="6" t="inlineStr">
        <is>
          <t>Professional</t>
        </is>
      </c>
      <c r="C333" s="6" t="inlineStr">
        <is>
          <t>Monthly</t>
        </is>
      </c>
      <c r="D333" s="6" t="inlineStr">
        <is>
          <t>Finance</t>
        </is>
      </c>
      <c r="E333" s="6" t="inlineStr">
        <is>
          <t>51-200</t>
        </is>
      </c>
      <c r="F333" s="6" t="n">
        <v>77</v>
      </c>
      <c r="G333" s="6" t="n">
        <v>979.6</v>
      </c>
      <c r="H333" s="6" t="inlineStr">
        <is>
          <t>Paid Ads</t>
        </is>
      </c>
      <c r="I333" s="6" t="inlineStr">
        <is>
          <t>North America</t>
        </is>
      </c>
      <c r="J333" s="7" t="n">
        <v>45724</v>
      </c>
      <c r="K333" s="6" t="inlineStr">
        <is>
          <t>Yes</t>
        </is>
      </c>
      <c r="L333" s="7" t="n">
        <v>45818</v>
      </c>
      <c r="M333" s="6" t="inlineStr">
        <is>
          <t>Budget Cuts</t>
        </is>
      </c>
      <c r="N333" s="6" t="n">
        <v>3</v>
      </c>
      <c r="O333" s="6" t="n">
        <v>2</v>
      </c>
      <c r="P333" s="6" t="n">
        <v>40</v>
      </c>
      <c r="Q333" s="6" t="inlineStr">
        <is>
          <t>No</t>
        </is>
      </c>
      <c r="R333" s="6">
        <f>IF(K333="Yes",1,0)</f>
        <v/>
      </c>
      <c r="S333" s="6">
        <f>IF(K333="No",1,0)</f>
        <v/>
      </c>
      <c r="T333" s="6">
        <f>ROUND((IF(L333="",'Subscriptions'!$T$2,L333)-J333)/30.44,1)</f>
        <v/>
      </c>
      <c r="U333" s="6">
        <f>IF(AND(P333&lt;'Subscriptions'!$T$4,O333&lt;='Subscriptions'!$T$5),1,0)</f>
        <v/>
      </c>
    </row>
    <row r="334">
      <c r="A334" s="6" t="inlineStr">
        <is>
          <t>CUST-0333</t>
        </is>
      </c>
      <c r="B334" s="6" t="inlineStr">
        <is>
          <t>Professional</t>
        </is>
      </c>
      <c r="C334" s="6" t="inlineStr">
        <is>
          <t>Annual</t>
        </is>
      </c>
      <c r="D334" s="6" t="inlineStr">
        <is>
          <t>Education</t>
        </is>
      </c>
      <c r="E334" s="6" t="inlineStr">
        <is>
          <t>51-200</t>
        </is>
      </c>
      <c r="F334" s="6" t="n">
        <v>18</v>
      </c>
      <c r="G334" s="6" t="n">
        <v>238.38</v>
      </c>
      <c r="H334" s="6" t="inlineStr">
        <is>
          <t>Partner</t>
        </is>
      </c>
      <c r="I334" s="6" t="inlineStr">
        <is>
          <t>Asia Pacific</t>
        </is>
      </c>
      <c r="J334" s="7" t="n">
        <v>45387</v>
      </c>
      <c r="K334" s="6" t="inlineStr">
        <is>
          <t>Yes</t>
        </is>
      </c>
      <c r="L334" s="7" t="n">
        <v>45936</v>
      </c>
      <c r="M334" s="6" t="inlineStr">
        <is>
          <t>Missing Features</t>
        </is>
      </c>
      <c r="N334" s="6" t="n">
        <v>14</v>
      </c>
      <c r="O334" s="6" t="n">
        <v>1</v>
      </c>
      <c r="P334" s="6" t="n">
        <v>33</v>
      </c>
      <c r="Q334" s="6" t="inlineStr">
        <is>
          <t>No</t>
        </is>
      </c>
      <c r="R334" s="6">
        <f>IF(K334="Yes",1,0)</f>
        <v/>
      </c>
      <c r="S334" s="6">
        <f>IF(K334="No",1,0)</f>
        <v/>
      </c>
      <c r="T334" s="6">
        <f>ROUND((IF(L334="",'Subscriptions'!$T$2,L334)-J334)/30.44,1)</f>
        <v/>
      </c>
      <c r="U334" s="6">
        <f>IF(AND(P334&lt;'Subscriptions'!$T$4,O334&lt;='Subscriptions'!$T$5),1,0)</f>
        <v/>
      </c>
    </row>
    <row r="335">
      <c r="A335" s="6" t="inlineStr">
        <is>
          <t>CUST-0334</t>
        </is>
      </c>
      <c r="B335" s="6" t="inlineStr">
        <is>
          <t>Starter</t>
        </is>
      </c>
      <c r="C335" s="6" t="inlineStr">
        <is>
          <t>Annual</t>
        </is>
      </c>
      <c r="D335" s="6" t="inlineStr">
        <is>
          <t>Finance</t>
        </is>
      </c>
      <c r="E335" s="6" t="inlineStr">
        <is>
          <t>201-500</t>
        </is>
      </c>
      <c r="F335" s="6" t="n">
        <v>85</v>
      </c>
      <c r="G335" s="6" t="n">
        <v>335.24</v>
      </c>
      <c r="H335" s="6" t="inlineStr">
        <is>
          <t>Organic Search</t>
        </is>
      </c>
      <c r="I335" s="6" t="inlineStr">
        <is>
          <t>Europe</t>
        </is>
      </c>
      <c r="J335" s="7" t="n">
        <v>45212</v>
      </c>
      <c r="K335" s="6" t="inlineStr">
        <is>
          <t>Yes</t>
        </is>
      </c>
      <c r="L335" s="7" t="n">
        <v>45313</v>
      </c>
      <c r="M335" s="6" t="inlineStr">
        <is>
          <t>Budget Cuts</t>
        </is>
      </c>
      <c r="N335" s="6" t="n">
        <v>8</v>
      </c>
      <c r="O335" s="6" t="n">
        <v>1</v>
      </c>
      <c r="P335" s="6" t="n">
        <v>35</v>
      </c>
      <c r="Q335" s="6" t="inlineStr">
        <is>
          <t>No</t>
        </is>
      </c>
      <c r="R335" s="6">
        <f>IF(K335="Yes",1,0)</f>
        <v/>
      </c>
      <c r="S335" s="6">
        <f>IF(K335="No",1,0)</f>
        <v/>
      </c>
      <c r="T335" s="6">
        <f>ROUND((IF(L335="",'Subscriptions'!$T$2,L335)-J335)/30.44,1)</f>
        <v/>
      </c>
      <c r="U335" s="6">
        <f>IF(AND(P335&lt;'Subscriptions'!$T$4,O335&lt;='Subscriptions'!$T$5),1,0)</f>
        <v/>
      </c>
    </row>
    <row r="336">
      <c r="A336" s="6" t="inlineStr">
        <is>
          <t>CUST-0335</t>
        </is>
      </c>
      <c r="B336" s="6" t="inlineStr">
        <is>
          <t>Professional</t>
        </is>
      </c>
      <c r="C336" s="6" t="inlineStr">
        <is>
          <t>Monthly</t>
        </is>
      </c>
      <c r="D336" s="6" t="inlineStr">
        <is>
          <t>Consulting</t>
        </is>
      </c>
      <c r="E336" s="6" t="inlineStr">
        <is>
          <t>11-50</t>
        </is>
      </c>
      <c r="F336" s="6" t="n">
        <v>18</v>
      </c>
      <c r="G336" s="6" t="n">
        <v>280.45</v>
      </c>
      <c r="H336" s="6" t="inlineStr">
        <is>
          <t>Social Media</t>
        </is>
      </c>
      <c r="I336" s="6" t="inlineStr">
        <is>
          <t>North America</t>
        </is>
      </c>
      <c r="J336" s="7" t="n">
        <v>44811</v>
      </c>
      <c r="K336" s="6" t="inlineStr">
        <is>
          <t>Yes</t>
        </is>
      </c>
      <c r="L336" s="7" t="n">
        <v>45364</v>
      </c>
      <c r="M336" s="6" t="inlineStr">
        <is>
          <t>No Longer Needed</t>
        </is>
      </c>
      <c r="N336" s="6" t="n">
        <v>10</v>
      </c>
      <c r="O336" s="6" t="n">
        <v>1</v>
      </c>
      <c r="P336" s="6" t="n">
        <v>27</v>
      </c>
      <c r="Q336" s="6" t="inlineStr">
        <is>
          <t>No</t>
        </is>
      </c>
      <c r="R336" s="6">
        <f>IF(K336="Yes",1,0)</f>
        <v/>
      </c>
      <c r="S336" s="6">
        <f>IF(K336="No",1,0)</f>
        <v/>
      </c>
      <c r="T336" s="6">
        <f>ROUND((IF(L336="",'Subscriptions'!$T$2,L336)-J336)/30.44,1)</f>
        <v/>
      </c>
      <c r="U336" s="6">
        <f>IF(AND(P336&lt;'Subscriptions'!$T$4,O336&lt;='Subscriptions'!$T$5),1,0)</f>
        <v/>
      </c>
    </row>
    <row r="337">
      <c r="A337" s="6" t="inlineStr">
        <is>
          <t>CUST-0336</t>
        </is>
      </c>
      <c r="B337" s="6" t="inlineStr">
        <is>
          <t>Business</t>
        </is>
      </c>
      <c r="C337" s="6" t="inlineStr">
        <is>
          <t>Annual</t>
        </is>
      </c>
      <c r="D337" s="6" t="inlineStr">
        <is>
          <t>Education</t>
        </is>
      </c>
      <c r="E337" s="6" t="inlineStr">
        <is>
          <t>1-10</t>
        </is>
      </c>
      <c r="F337" s="6" t="n">
        <v>5</v>
      </c>
      <c r="G337" s="6" t="n">
        <v>270.64</v>
      </c>
      <c r="H337" s="6" t="inlineStr">
        <is>
          <t>Organic Search</t>
        </is>
      </c>
      <c r="I337" s="6" t="inlineStr">
        <is>
          <t>Europe</t>
        </is>
      </c>
      <c r="J337" s="7" t="n">
        <v>45121</v>
      </c>
      <c r="K337" s="6" t="inlineStr">
        <is>
          <t>Yes</t>
        </is>
      </c>
      <c r="L337" s="7" t="n">
        <v>45703</v>
      </c>
      <c r="M337" s="6" t="inlineStr">
        <is>
          <t>Company Closed</t>
        </is>
      </c>
      <c r="N337" s="6" t="n">
        <v>7</v>
      </c>
      <c r="O337" s="6" t="n">
        <v>1</v>
      </c>
      <c r="P337" s="6" t="n">
        <v>36</v>
      </c>
      <c r="Q337" s="6" t="inlineStr">
        <is>
          <t>No</t>
        </is>
      </c>
      <c r="R337" s="6">
        <f>IF(K337="Yes",1,0)</f>
        <v/>
      </c>
      <c r="S337" s="6">
        <f>IF(K337="No",1,0)</f>
        <v/>
      </c>
      <c r="T337" s="6">
        <f>ROUND((IF(L337="",'Subscriptions'!$T$2,L337)-J337)/30.44,1)</f>
        <v/>
      </c>
      <c r="U337" s="6">
        <f>IF(AND(P337&lt;'Subscriptions'!$T$4,O337&lt;='Subscriptions'!$T$5),1,0)</f>
        <v/>
      </c>
    </row>
    <row r="338">
      <c r="A338" s="6" t="inlineStr">
        <is>
          <t>CUST-0337</t>
        </is>
      </c>
      <c r="B338" s="6" t="inlineStr">
        <is>
          <t>Starter</t>
        </is>
      </c>
      <c r="C338" s="6" t="inlineStr">
        <is>
          <t>Monthly</t>
        </is>
      </c>
      <c r="D338" s="6" t="inlineStr">
        <is>
          <t>Media</t>
        </is>
      </c>
      <c r="E338" s="6" t="inlineStr">
        <is>
          <t>51-200</t>
        </is>
      </c>
      <c r="F338" s="6" t="n">
        <v>65</v>
      </c>
      <c r="G338" s="6" t="n">
        <v>307.4</v>
      </c>
      <c r="H338" s="6" t="inlineStr">
        <is>
          <t>Paid Ads</t>
        </is>
      </c>
      <c r="I338" s="6" t="inlineStr">
        <is>
          <t>Latin America</t>
        </is>
      </c>
      <c r="J338" s="7" t="n">
        <v>44887</v>
      </c>
      <c r="K338" s="6" t="inlineStr">
        <is>
          <t>Yes</t>
        </is>
      </c>
      <c r="L338" s="7" t="n">
        <v>45004</v>
      </c>
      <c r="M338" s="6" t="inlineStr">
        <is>
          <t>Price Too High</t>
        </is>
      </c>
      <c r="N338" s="6" t="n">
        <v>3</v>
      </c>
      <c r="O338" s="6" t="n">
        <v>1</v>
      </c>
      <c r="P338" s="6" t="n">
        <v>45</v>
      </c>
      <c r="Q338" s="6" t="inlineStr">
        <is>
          <t>No</t>
        </is>
      </c>
      <c r="R338" s="6">
        <f>IF(K338="Yes",1,0)</f>
        <v/>
      </c>
      <c r="S338" s="6">
        <f>IF(K338="No",1,0)</f>
        <v/>
      </c>
      <c r="T338" s="6">
        <f>ROUND((IF(L338="",'Subscriptions'!$T$2,L338)-J338)/30.44,1)</f>
        <v/>
      </c>
      <c r="U338" s="6">
        <f>IF(AND(P338&lt;'Subscriptions'!$T$4,O338&lt;='Subscriptions'!$T$5),1,0)</f>
        <v/>
      </c>
    </row>
    <row r="339">
      <c r="A339" s="6" t="inlineStr">
        <is>
          <t>CUST-0338</t>
        </is>
      </c>
      <c r="B339" s="6" t="inlineStr">
        <is>
          <t>Starter</t>
        </is>
      </c>
      <c r="C339" s="6" t="inlineStr">
        <is>
          <t>Annual</t>
        </is>
      </c>
      <c r="D339" s="6" t="inlineStr">
        <is>
          <t>Technology</t>
        </is>
      </c>
      <c r="E339" s="6" t="inlineStr">
        <is>
          <t>11-50</t>
        </is>
      </c>
      <c r="F339" s="6" t="n">
        <v>26</v>
      </c>
      <c r="G339" s="6" t="n">
        <v>117.09</v>
      </c>
      <c r="H339" s="6" t="inlineStr">
        <is>
          <t>Partner</t>
        </is>
      </c>
      <c r="I339" s="6" t="inlineStr">
        <is>
          <t>North America</t>
        </is>
      </c>
      <c r="J339" s="7" t="n">
        <v>45320</v>
      </c>
      <c r="K339" s="6" t="inlineStr">
        <is>
          <t>No</t>
        </is>
      </c>
      <c r="L339" s="7" t="n"/>
      <c r="M339" s="6" t="n"/>
      <c r="N339" s="6" t="n">
        <v>4</v>
      </c>
      <c r="O339" s="6" t="n">
        <v>8</v>
      </c>
      <c r="P339" s="6" t="n">
        <v>42</v>
      </c>
      <c r="Q339" s="6" t="inlineStr">
        <is>
          <t>Yes</t>
        </is>
      </c>
      <c r="R339" s="6">
        <f>IF(K339="Yes",1,0)</f>
        <v/>
      </c>
      <c r="S339" s="6">
        <f>IF(K339="No",1,0)</f>
        <v/>
      </c>
      <c r="T339" s="6">
        <f>ROUND((IF(L339="",'Subscriptions'!$T$2,L339)-J339)/30.44,1)</f>
        <v/>
      </c>
      <c r="U339" s="6">
        <f>IF(AND(P339&lt;'Subscriptions'!$T$4,O339&lt;='Subscriptions'!$T$5),1,0)</f>
        <v/>
      </c>
    </row>
    <row r="340">
      <c r="A340" s="6" t="inlineStr">
        <is>
          <t>CUST-0339</t>
        </is>
      </c>
      <c r="B340" s="6" t="inlineStr">
        <is>
          <t>Starter</t>
        </is>
      </c>
      <c r="C340" s="6" t="inlineStr">
        <is>
          <t>Monthly</t>
        </is>
      </c>
      <c r="D340" s="6" t="inlineStr">
        <is>
          <t>Media</t>
        </is>
      </c>
      <c r="E340" s="6" t="inlineStr">
        <is>
          <t>1-10</t>
        </is>
      </c>
      <c r="F340" s="6" t="n">
        <v>4</v>
      </c>
      <c r="G340" s="6" t="n">
        <v>42.05</v>
      </c>
      <c r="H340" s="6" t="inlineStr">
        <is>
          <t>Organic Search</t>
        </is>
      </c>
      <c r="I340" s="6" t="inlineStr">
        <is>
          <t>North America</t>
        </is>
      </c>
      <c r="J340" s="7" t="n">
        <v>45440</v>
      </c>
      <c r="K340" s="6" t="inlineStr">
        <is>
          <t>Yes</t>
        </is>
      </c>
      <c r="L340" s="7" t="n">
        <v>45677</v>
      </c>
      <c r="M340" s="6" t="inlineStr">
        <is>
          <t>Price Too High</t>
        </is>
      </c>
      <c r="N340" s="6" t="n">
        <v>0</v>
      </c>
      <c r="O340" s="6" t="n">
        <v>4</v>
      </c>
      <c r="P340" s="6" t="n">
        <v>13</v>
      </c>
      <c r="Q340" s="6" t="inlineStr">
        <is>
          <t>No</t>
        </is>
      </c>
      <c r="R340" s="6">
        <f>IF(K340="Yes",1,0)</f>
        <v/>
      </c>
      <c r="S340" s="6">
        <f>IF(K340="No",1,0)</f>
        <v/>
      </c>
      <c r="T340" s="6">
        <f>ROUND((IF(L340="",'Subscriptions'!$T$2,L340)-J340)/30.44,1)</f>
        <v/>
      </c>
      <c r="U340" s="6">
        <f>IF(AND(P340&lt;'Subscriptions'!$T$4,O340&lt;='Subscriptions'!$T$5),1,0)</f>
        <v/>
      </c>
    </row>
    <row r="341">
      <c r="A341" s="6" t="inlineStr">
        <is>
          <t>CUST-0340</t>
        </is>
      </c>
      <c r="B341" s="6" t="inlineStr">
        <is>
          <t>Starter</t>
        </is>
      </c>
      <c r="C341" s="6" t="inlineStr">
        <is>
          <t>Annual</t>
        </is>
      </c>
      <c r="D341" s="6" t="inlineStr">
        <is>
          <t>Education</t>
        </is>
      </c>
      <c r="E341" s="6" t="inlineStr">
        <is>
          <t>201-500</t>
        </is>
      </c>
      <c r="F341" s="6" t="n">
        <v>140</v>
      </c>
      <c r="G341" s="6" t="n">
        <v>538.6</v>
      </c>
      <c r="H341" s="6" t="inlineStr">
        <is>
          <t>Organic Search</t>
        </is>
      </c>
      <c r="I341" s="6" t="inlineStr">
        <is>
          <t>Europe</t>
        </is>
      </c>
      <c r="J341" s="7" t="n">
        <v>44742</v>
      </c>
      <c r="K341" s="6" t="inlineStr">
        <is>
          <t>Yes</t>
        </is>
      </c>
      <c r="L341" s="7" t="n">
        <v>44835</v>
      </c>
      <c r="M341" s="6" t="inlineStr">
        <is>
          <t>Budget Cuts</t>
        </is>
      </c>
      <c r="N341" s="6" t="n">
        <v>14</v>
      </c>
      <c r="O341" s="6" t="n">
        <v>2</v>
      </c>
      <c r="P341" s="6" t="n">
        <v>43</v>
      </c>
      <c r="Q341" s="6" t="inlineStr">
        <is>
          <t>No</t>
        </is>
      </c>
      <c r="R341" s="6">
        <f>IF(K341="Yes",1,0)</f>
        <v/>
      </c>
      <c r="S341" s="6">
        <f>IF(K341="No",1,0)</f>
        <v/>
      </c>
      <c r="T341" s="6">
        <f>ROUND((IF(L341="",'Subscriptions'!$T$2,L341)-J341)/30.44,1)</f>
        <v/>
      </c>
      <c r="U341" s="6">
        <f>IF(AND(P341&lt;'Subscriptions'!$T$4,O341&lt;='Subscriptions'!$T$5),1,0)</f>
        <v/>
      </c>
    </row>
    <row r="342">
      <c r="A342" s="6" t="inlineStr">
        <is>
          <t>CUST-0341</t>
        </is>
      </c>
      <c r="B342" s="6" t="inlineStr">
        <is>
          <t>Starter</t>
        </is>
      </c>
      <c r="C342" s="6" t="inlineStr">
        <is>
          <t>Monthly</t>
        </is>
      </c>
      <c r="D342" s="6" t="inlineStr">
        <is>
          <t>Real Estate</t>
        </is>
      </c>
      <c r="E342" s="6" t="inlineStr">
        <is>
          <t>201-500</t>
        </is>
      </c>
      <c r="F342" s="6" t="n">
        <v>41</v>
      </c>
      <c r="G342" s="6" t="n">
        <v>203</v>
      </c>
      <c r="H342" s="6" t="inlineStr">
        <is>
          <t>Paid Ads</t>
        </is>
      </c>
      <c r="I342" s="6" t="inlineStr">
        <is>
          <t>North America</t>
        </is>
      </c>
      <c r="J342" s="7" t="n">
        <v>45735</v>
      </c>
      <c r="K342" s="6" t="inlineStr">
        <is>
          <t>Yes</t>
        </is>
      </c>
      <c r="L342" s="7" t="n">
        <v>45832</v>
      </c>
      <c r="M342" s="6" t="inlineStr">
        <is>
          <t>No Longer Needed</t>
        </is>
      </c>
      <c r="N342" s="6" t="n">
        <v>12</v>
      </c>
      <c r="O342" s="6" t="n">
        <v>1</v>
      </c>
      <c r="P342" s="6" t="n">
        <v>40</v>
      </c>
      <c r="Q342" s="6" t="inlineStr">
        <is>
          <t>No</t>
        </is>
      </c>
      <c r="R342" s="6">
        <f>IF(K342="Yes",1,0)</f>
        <v/>
      </c>
      <c r="S342" s="6">
        <f>IF(K342="No",1,0)</f>
        <v/>
      </c>
      <c r="T342" s="6">
        <f>ROUND((IF(L342="",'Subscriptions'!$T$2,L342)-J342)/30.44,1)</f>
        <v/>
      </c>
      <c r="U342" s="6">
        <f>IF(AND(P342&lt;'Subscriptions'!$T$4,O342&lt;='Subscriptions'!$T$5),1,0)</f>
        <v/>
      </c>
    </row>
    <row r="343">
      <c r="A343" s="6" t="inlineStr">
        <is>
          <t>CUST-0342</t>
        </is>
      </c>
      <c r="B343" s="6" t="inlineStr">
        <is>
          <t>Starter</t>
        </is>
      </c>
      <c r="C343" s="6" t="inlineStr">
        <is>
          <t>Annual</t>
        </is>
      </c>
      <c r="D343" s="6" t="inlineStr">
        <is>
          <t>Retail</t>
        </is>
      </c>
      <c r="E343" s="6" t="inlineStr">
        <is>
          <t>201-500</t>
        </is>
      </c>
      <c r="F343" s="6" t="n">
        <v>78</v>
      </c>
      <c r="G343" s="6" t="n">
        <v>309.36</v>
      </c>
      <c r="H343" s="6" t="inlineStr">
        <is>
          <t>Paid Ads</t>
        </is>
      </c>
      <c r="I343" s="6" t="inlineStr">
        <is>
          <t>Europe</t>
        </is>
      </c>
      <c r="J343" s="7" t="n">
        <v>45519</v>
      </c>
      <c r="K343" s="6" t="inlineStr">
        <is>
          <t>Yes</t>
        </is>
      </c>
      <c r="L343" s="7" t="n">
        <v>45884</v>
      </c>
      <c r="M343" s="6" t="inlineStr">
        <is>
          <t>Switched Competitor</t>
        </is>
      </c>
      <c r="N343" s="6" t="n">
        <v>3</v>
      </c>
      <c r="O343" s="6" t="n">
        <v>1</v>
      </c>
      <c r="P343" s="6" t="n">
        <v>35</v>
      </c>
      <c r="Q343" s="6" t="inlineStr">
        <is>
          <t>No</t>
        </is>
      </c>
      <c r="R343" s="6">
        <f>IF(K343="Yes",1,0)</f>
        <v/>
      </c>
      <c r="S343" s="6">
        <f>IF(K343="No",1,0)</f>
        <v/>
      </c>
      <c r="T343" s="6">
        <f>ROUND((IF(L343="",'Subscriptions'!$T$2,L343)-J343)/30.44,1)</f>
        <v/>
      </c>
      <c r="U343" s="6">
        <f>IF(AND(P343&lt;'Subscriptions'!$T$4,O343&lt;='Subscriptions'!$T$5),1,0)</f>
        <v/>
      </c>
    </row>
    <row r="344">
      <c r="A344" s="6" t="inlineStr">
        <is>
          <t>CUST-0343</t>
        </is>
      </c>
      <c r="B344" s="6" t="inlineStr">
        <is>
          <t>Business</t>
        </is>
      </c>
      <c r="C344" s="6" t="inlineStr">
        <is>
          <t>Annual</t>
        </is>
      </c>
      <c r="D344" s="6" t="inlineStr">
        <is>
          <t>Legal</t>
        </is>
      </c>
      <c r="E344" s="6" t="inlineStr">
        <is>
          <t>11-50</t>
        </is>
      </c>
      <c r="F344" s="6" t="n">
        <v>12</v>
      </c>
      <c r="G344" s="6" t="n">
        <v>448.25</v>
      </c>
      <c r="H344" s="6" t="inlineStr">
        <is>
          <t>Referral</t>
        </is>
      </c>
      <c r="I344" s="6" t="inlineStr">
        <is>
          <t>Latin America</t>
        </is>
      </c>
      <c r="J344" s="7" t="n">
        <v>45069</v>
      </c>
      <c r="K344" s="6" t="inlineStr">
        <is>
          <t>Yes</t>
        </is>
      </c>
      <c r="L344" s="7" t="n">
        <v>45765</v>
      </c>
      <c r="M344" s="6" t="inlineStr">
        <is>
          <t>No Longer Needed</t>
        </is>
      </c>
      <c r="N344" s="6" t="n">
        <v>12</v>
      </c>
      <c r="O344" s="6" t="n">
        <v>6</v>
      </c>
      <c r="P344" s="6" t="n">
        <v>19</v>
      </c>
      <c r="Q344" s="6" t="inlineStr">
        <is>
          <t>No</t>
        </is>
      </c>
      <c r="R344" s="6">
        <f>IF(K344="Yes",1,0)</f>
        <v/>
      </c>
      <c r="S344" s="6">
        <f>IF(K344="No",1,0)</f>
        <v/>
      </c>
      <c r="T344" s="6">
        <f>ROUND((IF(L344="",'Subscriptions'!$T$2,L344)-J344)/30.44,1)</f>
        <v/>
      </c>
      <c r="U344" s="6">
        <f>IF(AND(P344&lt;'Subscriptions'!$T$4,O344&lt;='Subscriptions'!$T$5),1,0)</f>
        <v/>
      </c>
    </row>
    <row r="345">
      <c r="A345" s="6" t="inlineStr">
        <is>
          <t>CUST-0344</t>
        </is>
      </c>
      <c r="B345" s="6" t="inlineStr">
        <is>
          <t>Professional</t>
        </is>
      </c>
      <c r="C345" s="6" t="inlineStr">
        <is>
          <t>Monthly</t>
        </is>
      </c>
      <c r="D345" s="6" t="inlineStr">
        <is>
          <t>Retail</t>
        </is>
      </c>
      <c r="E345" s="6" t="inlineStr">
        <is>
          <t>11-50</t>
        </is>
      </c>
      <c r="F345" s="6" t="n">
        <v>32</v>
      </c>
      <c r="G345" s="6" t="n">
        <v>446.35</v>
      </c>
      <c r="H345" s="6" t="inlineStr">
        <is>
          <t>Referral</t>
        </is>
      </c>
      <c r="I345" s="6" t="inlineStr">
        <is>
          <t>Asia Pacific</t>
        </is>
      </c>
      <c r="J345" s="7" t="n">
        <v>44703</v>
      </c>
      <c r="K345" s="6" t="inlineStr">
        <is>
          <t>Yes</t>
        </is>
      </c>
      <c r="L345" s="7" t="n">
        <v>45092</v>
      </c>
      <c r="M345" s="6" t="inlineStr">
        <is>
          <t>Company Closed</t>
        </is>
      </c>
      <c r="N345" s="6" t="n">
        <v>3</v>
      </c>
      <c r="O345" s="6" t="n">
        <v>3</v>
      </c>
      <c r="P345" s="6" t="n">
        <v>29</v>
      </c>
      <c r="Q345" s="6" t="inlineStr">
        <is>
          <t>No</t>
        </is>
      </c>
      <c r="R345" s="6">
        <f>IF(K345="Yes",1,0)</f>
        <v/>
      </c>
      <c r="S345" s="6">
        <f>IF(K345="No",1,0)</f>
        <v/>
      </c>
      <c r="T345" s="6">
        <f>ROUND((IF(L345="",'Subscriptions'!$T$2,L345)-J345)/30.44,1)</f>
        <v/>
      </c>
      <c r="U345" s="6">
        <f>IF(AND(P345&lt;'Subscriptions'!$T$4,O345&lt;='Subscriptions'!$T$5),1,0)</f>
        <v/>
      </c>
    </row>
    <row r="346">
      <c r="A346" s="6" t="inlineStr">
        <is>
          <t>CUST-0345</t>
        </is>
      </c>
      <c r="B346" s="6" t="inlineStr">
        <is>
          <t>Business</t>
        </is>
      </c>
      <c r="C346" s="6" t="inlineStr">
        <is>
          <t>Annual</t>
        </is>
      </c>
      <c r="D346" s="6" t="inlineStr">
        <is>
          <t>Education</t>
        </is>
      </c>
      <c r="E346" s="6" t="inlineStr">
        <is>
          <t>1-10</t>
        </is>
      </c>
      <c r="F346" s="6" t="n">
        <v>4</v>
      </c>
      <c r="G346" s="6" t="n">
        <v>245.27</v>
      </c>
      <c r="H346" s="6" t="inlineStr">
        <is>
          <t>Paid Ads</t>
        </is>
      </c>
      <c r="I346" s="6" t="inlineStr">
        <is>
          <t>Europe</t>
        </is>
      </c>
      <c r="J346" s="7" t="n">
        <v>44830</v>
      </c>
      <c r="K346" s="6" t="inlineStr">
        <is>
          <t>No</t>
        </is>
      </c>
      <c r="L346" s="7" t="n"/>
      <c r="M346" s="6" t="n"/>
      <c r="N346" s="6" t="n">
        <v>4</v>
      </c>
      <c r="O346" s="6" t="n">
        <v>2</v>
      </c>
      <c r="P346" s="6" t="n">
        <v>93</v>
      </c>
      <c r="Q346" s="6" t="inlineStr">
        <is>
          <t>No</t>
        </is>
      </c>
      <c r="R346" s="6">
        <f>IF(K346="Yes",1,0)</f>
        <v/>
      </c>
      <c r="S346" s="6">
        <f>IF(K346="No",1,0)</f>
        <v/>
      </c>
      <c r="T346" s="6">
        <f>ROUND((IF(L346="",'Subscriptions'!$T$2,L346)-J346)/30.44,1)</f>
        <v/>
      </c>
      <c r="U346" s="6">
        <f>IF(AND(P346&lt;'Subscriptions'!$T$4,O346&lt;='Subscriptions'!$T$5),1,0)</f>
        <v/>
      </c>
    </row>
    <row r="347">
      <c r="A347" s="6" t="inlineStr">
        <is>
          <t>CUST-0346</t>
        </is>
      </c>
      <c r="B347" s="6" t="inlineStr">
        <is>
          <t>Business</t>
        </is>
      </c>
      <c r="C347" s="6" t="inlineStr">
        <is>
          <t>Monthly</t>
        </is>
      </c>
      <c r="D347" s="6" t="inlineStr">
        <is>
          <t>Education</t>
        </is>
      </c>
      <c r="E347" s="6" t="inlineStr">
        <is>
          <t>201-500</t>
        </is>
      </c>
      <c r="F347" s="6" t="n">
        <v>126</v>
      </c>
      <c r="G347" s="6" t="n">
        <v>3930.25</v>
      </c>
      <c r="H347" s="6" t="inlineStr">
        <is>
          <t>Paid Ads</t>
        </is>
      </c>
      <c r="I347" s="6" t="inlineStr">
        <is>
          <t>North America</t>
        </is>
      </c>
      <c r="J347" s="7" t="n">
        <v>45979</v>
      </c>
      <c r="K347" s="6" t="inlineStr">
        <is>
          <t>No</t>
        </is>
      </c>
      <c r="L347" s="7" t="n"/>
      <c r="M347" s="6" t="n"/>
      <c r="N347" s="6" t="n">
        <v>9</v>
      </c>
      <c r="O347" s="6" t="n">
        <v>8</v>
      </c>
      <c r="P347" s="6" t="n">
        <v>20</v>
      </c>
      <c r="Q347" s="6" t="inlineStr">
        <is>
          <t>No</t>
        </is>
      </c>
      <c r="R347" s="6">
        <f>IF(K347="Yes",1,0)</f>
        <v/>
      </c>
      <c r="S347" s="6">
        <f>IF(K347="No",1,0)</f>
        <v/>
      </c>
      <c r="T347" s="6">
        <f>ROUND((IF(L347="",'Subscriptions'!$T$2,L347)-J347)/30.44,1)</f>
        <v/>
      </c>
      <c r="U347" s="6">
        <f>IF(AND(P347&lt;'Subscriptions'!$T$4,O347&lt;='Subscriptions'!$T$5),1,0)</f>
        <v/>
      </c>
    </row>
    <row r="348">
      <c r="A348" s="6" t="inlineStr">
        <is>
          <t>CUST-0347</t>
        </is>
      </c>
      <c r="B348" s="6" t="inlineStr">
        <is>
          <t>Professional</t>
        </is>
      </c>
      <c r="C348" s="6" t="inlineStr">
        <is>
          <t>Annual</t>
        </is>
      </c>
      <c r="D348" s="6" t="inlineStr">
        <is>
          <t>Media</t>
        </is>
      </c>
      <c r="E348" s="6" t="inlineStr">
        <is>
          <t>51-200</t>
        </is>
      </c>
      <c r="F348" s="6" t="n">
        <v>17</v>
      </c>
      <c r="G348" s="6" t="n">
        <v>228.31</v>
      </c>
      <c r="H348" s="6" t="inlineStr">
        <is>
          <t>Organic Search</t>
        </is>
      </c>
      <c r="I348" s="6" t="inlineStr">
        <is>
          <t>Europe</t>
        </is>
      </c>
      <c r="J348" s="7" t="n">
        <v>45925</v>
      </c>
      <c r="K348" s="6" t="inlineStr">
        <is>
          <t>No</t>
        </is>
      </c>
      <c r="L348" s="7" t="n"/>
      <c r="M348" s="6" t="n"/>
      <c r="N348" s="6" t="n">
        <v>5</v>
      </c>
      <c r="O348" s="6" t="n">
        <v>4</v>
      </c>
      <c r="P348" s="6" t="n">
        <v>21</v>
      </c>
      <c r="Q348" s="6" t="inlineStr">
        <is>
          <t>No</t>
        </is>
      </c>
      <c r="R348" s="6">
        <f>IF(K348="Yes",1,0)</f>
        <v/>
      </c>
      <c r="S348" s="6">
        <f>IF(K348="No",1,0)</f>
        <v/>
      </c>
      <c r="T348" s="6">
        <f>ROUND((IF(L348="",'Subscriptions'!$T$2,L348)-J348)/30.44,1)</f>
        <v/>
      </c>
      <c r="U348" s="6">
        <f>IF(AND(P348&lt;'Subscriptions'!$T$4,O348&lt;='Subscriptions'!$T$5),1,0)</f>
        <v/>
      </c>
    </row>
    <row r="349">
      <c r="A349" s="6" t="inlineStr">
        <is>
          <t>CUST-0348</t>
        </is>
      </c>
      <c r="B349" s="6" t="inlineStr">
        <is>
          <t>Business</t>
        </is>
      </c>
      <c r="C349" s="6" t="inlineStr">
        <is>
          <t>Monthly</t>
        </is>
      </c>
      <c r="D349" s="6" t="inlineStr">
        <is>
          <t>Technology</t>
        </is>
      </c>
      <c r="E349" s="6" t="inlineStr">
        <is>
          <t>51-200</t>
        </is>
      </c>
      <c r="F349" s="6" t="n">
        <v>73</v>
      </c>
      <c r="G349" s="6" t="n">
        <v>2348.2</v>
      </c>
      <c r="H349" s="6" t="inlineStr">
        <is>
          <t>Organic Search</t>
        </is>
      </c>
      <c r="I349" s="6" t="inlineStr">
        <is>
          <t>Asia Pacific</t>
        </is>
      </c>
      <c r="J349" s="7" t="n">
        <v>45813</v>
      </c>
      <c r="K349" s="6" t="inlineStr">
        <is>
          <t>No</t>
        </is>
      </c>
      <c r="L349" s="7" t="n"/>
      <c r="M349" s="6" t="n"/>
      <c r="N349" s="6" t="n">
        <v>9</v>
      </c>
      <c r="O349" s="6" t="n">
        <v>5</v>
      </c>
      <c r="P349" s="6" t="n">
        <v>74</v>
      </c>
      <c r="Q349" s="6" t="inlineStr">
        <is>
          <t>No</t>
        </is>
      </c>
      <c r="R349" s="6">
        <f>IF(K349="Yes",1,0)</f>
        <v/>
      </c>
      <c r="S349" s="6">
        <f>IF(K349="No",1,0)</f>
        <v/>
      </c>
      <c r="T349" s="6">
        <f>ROUND((IF(L349="",'Subscriptions'!$T$2,L349)-J349)/30.44,1)</f>
        <v/>
      </c>
      <c r="U349" s="6">
        <f>IF(AND(P349&lt;'Subscriptions'!$T$4,O349&lt;='Subscriptions'!$T$5),1,0)</f>
        <v/>
      </c>
    </row>
    <row r="350">
      <c r="A350" s="6" t="inlineStr">
        <is>
          <t>CUST-0349</t>
        </is>
      </c>
      <c r="B350" s="6" t="inlineStr">
        <is>
          <t>Business</t>
        </is>
      </c>
      <c r="C350" s="6" t="inlineStr">
        <is>
          <t>Annual</t>
        </is>
      </c>
      <c r="D350" s="6" t="inlineStr">
        <is>
          <t>Legal</t>
        </is>
      </c>
      <c r="E350" s="6" t="inlineStr">
        <is>
          <t>11-50</t>
        </is>
      </c>
      <c r="F350" s="6" t="n">
        <v>29</v>
      </c>
      <c r="G350" s="6" t="n">
        <v>879.58</v>
      </c>
      <c r="H350" s="6" t="inlineStr">
        <is>
          <t>Paid Ads</t>
        </is>
      </c>
      <c r="I350" s="6" t="inlineStr">
        <is>
          <t>North America</t>
        </is>
      </c>
      <c r="J350" s="7" t="n">
        <v>45457</v>
      </c>
      <c r="K350" s="6" t="inlineStr">
        <is>
          <t>No</t>
        </is>
      </c>
      <c r="L350" s="7" t="n"/>
      <c r="M350" s="6" t="n"/>
      <c r="N350" s="6" t="n">
        <v>7</v>
      </c>
      <c r="O350" s="6" t="n">
        <v>10</v>
      </c>
      <c r="P350" s="6" t="n">
        <v>33</v>
      </c>
      <c r="Q350" s="6" t="inlineStr">
        <is>
          <t>No</t>
        </is>
      </c>
      <c r="R350" s="6">
        <f>IF(K350="Yes",1,0)</f>
        <v/>
      </c>
      <c r="S350" s="6">
        <f>IF(K350="No",1,0)</f>
        <v/>
      </c>
      <c r="T350" s="6">
        <f>ROUND((IF(L350="",'Subscriptions'!$T$2,L350)-J350)/30.44,1)</f>
        <v/>
      </c>
      <c r="U350" s="6">
        <f>IF(AND(P350&lt;'Subscriptions'!$T$4,O350&lt;='Subscriptions'!$T$5),1,0)</f>
        <v/>
      </c>
    </row>
    <row r="351">
      <c r="A351" s="6" t="inlineStr">
        <is>
          <t>CUST-0350</t>
        </is>
      </c>
      <c r="B351" s="6" t="inlineStr">
        <is>
          <t>Professional</t>
        </is>
      </c>
      <c r="C351" s="6" t="inlineStr">
        <is>
          <t>Monthly</t>
        </is>
      </c>
      <c r="D351" s="6" t="inlineStr">
        <is>
          <t>Media</t>
        </is>
      </c>
      <c r="E351" s="6" t="inlineStr">
        <is>
          <t>51-200</t>
        </is>
      </c>
      <c r="F351" s="6" t="n">
        <v>59</v>
      </c>
      <c r="G351" s="6" t="n">
        <v>766.3</v>
      </c>
      <c r="H351" s="6" t="inlineStr">
        <is>
          <t>Social Media</t>
        </is>
      </c>
      <c r="I351" s="6" t="inlineStr">
        <is>
          <t>North America</t>
        </is>
      </c>
      <c r="J351" s="7" t="n">
        <v>44619</v>
      </c>
      <c r="K351" s="6" t="inlineStr">
        <is>
          <t>Yes</t>
        </is>
      </c>
      <c r="L351" s="7" t="n">
        <v>44837</v>
      </c>
      <c r="M351" s="6" t="inlineStr">
        <is>
          <t>Switched Competitor</t>
        </is>
      </c>
      <c r="N351" s="6" t="n">
        <v>6</v>
      </c>
      <c r="O351" s="6" t="n">
        <v>2</v>
      </c>
      <c r="P351" s="6" t="n">
        <v>21</v>
      </c>
      <c r="Q351" s="6" t="inlineStr">
        <is>
          <t>No</t>
        </is>
      </c>
      <c r="R351" s="6">
        <f>IF(K351="Yes",1,0)</f>
        <v/>
      </c>
      <c r="S351" s="6">
        <f>IF(K351="No",1,0)</f>
        <v/>
      </c>
      <c r="T351" s="6">
        <f>ROUND((IF(L351="",'Subscriptions'!$T$2,L351)-J351)/30.44,1)</f>
        <v/>
      </c>
      <c r="U351" s="6">
        <f>IF(AND(P351&lt;'Subscriptions'!$T$4,O351&lt;='Subscriptions'!$T$5),1,0)</f>
        <v/>
      </c>
    </row>
    <row r="352">
      <c r="A352" s="6" t="inlineStr">
        <is>
          <t>CUST-0351</t>
        </is>
      </c>
      <c r="B352" s="6" t="inlineStr">
        <is>
          <t>Starter</t>
        </is>
      </c>
      <c r="C352" s="6" t="inlineStr">
        <is>
          <t>Annual</t>
        </is>
      </c>
      <c r="D352" s="6" t="inlineStr">
        <is>
          <t>Retail</t>
        </is>
      </c>
      <c r="E352" s="6" t="inlineStr">
        <is>
          <t>1-10</t>
        </is>
      </c>
      <c r="F352" s="6" t="n">
        <v>4</v>
      </c>
      <c r="G352" s="6" t="n">
        <v>35.74</v>
      </c>
      <c r="H352" s="6" t="inlineStr">
        <is>
          <t>Paid Ads</t>
        </is>
      </c>
      <c r="I352" s="6" t="inlineStr">
        <is>
          <t>North America</t>
        </is>
      </c>
      <c r="J352" s="7" t="n">
        <v>45494</v>
      </c>
      <c r="K352" s="6" t="inlineStr">
        <is>
          <t>Yes</t>
        </is>
      </c>
      <c r="L352" s="7" t="n">
        <v>45629</v>
      </c>
      <c r="M352" s="6" t="inlineStr">
        <is>
          <t>Missing Features</t>
        </is>
      </c>
      <c r="N352" s="6" t="n">
        <v>8</v>
      </c>
      <c r="O352" s="6" t="n">
        <v>6</v>
      </c>
      <c r="P352" s="6" t="n">
        <v>47</v>
      </c>
      <c r="Q352" s="6" t="inlineStr">
        <is>
          <t>No</t>
        </is>
      </c>
      <c r="R352" s="6">
        <f>IF(K352="Yes",1,0)</f>
        <v/>
      </c>
      <c r="S352" s="6">
        <f>IF(K352="No",1,0)</f>
        <v/>
      </c>
      <c r="T352" s="6">
        <f>ROUND((IF(L352="",'Subscriptions'!$T$2,L352)-J352)/30.44,1)</f>
        <v/>
      </c>
      <c r="U352" s="6">
        <f>IF(AND(P352&lt;'Subscriptions'!$T$4,O352&lt;='Subscriptions'!$T$5),1,0)</f>
        <v/>
      </c>
    </row>
    <row r="353">
      <c r="A353" s="6" t="inlineStr">
        <is>
          <t>CUST-0352</t>
        </is>
      </c>
      <c r="B353" s="6" t="inlineStr">
        <is>
          <t>Starter</t>
        </is>
      </c>
      <c r="C353" s="6" t="inlineStr">
        <is>
          <t>Monthly</t>
        </is>
      </c>
      <c r="D353" s="6" t="inlineStr">
        <is>
          <t>Education</t>
        </is>
      </c>
      <c r="E353" s="6" t="inlineStr">
        <is>
          <t>500+</t>
        </is>
      </c>
      <c r="F353" s="6" t="n">
        <v>130</v>
      </c>
      <c r="G353" s="6" t="n">
        <v>590.15</v>
      </c>
      <c r="H353" s="6" t="inlineStr">
        <is>
          <t>Partner</t>
        </is>
      </c>
      <c r="I353" s="6" t="inlineStr">
        <is>
          <t>Europe</t>
        </is>
      </c>
      <c r="J353" s="7" t="n">
        <v>45125</v>
      </c>
      <c r="K353" s="6" t="inlineStr">
        <is>
          <t>Yes</t>
        </is>
      </c>
      <c r="L353" s="7" t="n">
        <v>45423</v>
      </c>
      <c r="M353" s="6" t="inlineStr">
        <is>
          <t>Budget Cuts</t>
        </is>
      </c>
      <c r="N353" s="6" t="n">
        <v>5</v>
      </c>
      <c r="O353" s="6" t="n">
        <v>4</v>
      </c>
      <c r="P353" s="6" t="n">
        <v>23</v>
      </c>
      <c r="Q353" s="6" t="inlineStr">
        <is>
          <t>No</t>
        </is>
      </c>
      <c r="R353" s="6">
        <f>IF(K353="Yes",1,0)</f>
        <v/>
      </c>
      <c r="S353" s="6">
        <f>IF(K353="No",1,0)</f>
        <v/>
      </c>
      <c r="T353" s="6">
        <f>ROUND((IF(L353="",'Subscriptions'!$T$2,L353)-J353)/30.44,1)</f>
        <v/>
      </c>
      <c r="U353" s="6">
        <f>IF(AND(P353&lt;'Subscriptions'!$T$4,O353&lt;='Subscriptions'!$T$5),1,0)</f>
        <v/>
      </c>
    </row>
    <row r="354">
      <c r="A354" s="6" t="inlineStr">
        <is>
          <t>CUST-0353</t>
        </is>
      </c>
      <c r="B354" s="6" t="inlineStr">
        <is>
          <t>Business</t>
        </is>
      </c>
      <c r="C354" s="6" t="inlineStr">
        <is>
          <t>Annual</t>
        </is>
      </c>
      <c r="D354" s="6" t="inlineStr">
        <is>
          <t>Healthcare</t>
        </is>
      </c>
      <c r="E354" s="6" t="inlineStr">
        <is>
          <t>201-500</t>
        </is>
      </c>
      <c r="F354" s="6" t="n">
        <v>61</v>
      </c>
      <c r="G354" s="6" t="n">
        <v>1691.5</v>
      </c>
      <c r="H354" s="6" t="inlineStr">
        <is>
          <t>Social Media</t>
        </is>
      </c>
      <c r="I354" s="6" t="inlineStr">
        <is>
          <t>Europe</t>
        </is>
      </c>
      <c r="J354" s="7" t="n">
        <v>45749</v>
      </c>
      <c r="K354" s="6" t="inlineStr">
        <is>
          <t>Yes</t>
        </is>
      </c>
      <c r="L354" s="7" t="n">
        <v>45793</v>
      </c>
      <c r="M354" s="6" t="inlineStr">
        <is>
          <t>Missing Features</t>
        </is>
      </c>
      <c r="N354" s="6" t="n">
        <v>15</v>
      </c>
      <c r="O354" s="6" t="n">
        <v>5</v>
      </c>
      <c r="P354" s="6" t="n">
        <v>33</v>
      </c>
      <c r="Q354" s="6" t="inlineStr">
        <is>
          <t>No</t>
        </is>
      </c>
      <c r="R354" s="6">
        <f>IF(K354="Yes",1,0)</f>
        <v/>
      </c>
      <c r="S354" s="6">
        <f>IF(K354="No",1,0)</f>
        <v/>
      </c>
      <c r="T354" s="6">
        <f>ROUND((IF(L354="",'Subscriptions'!$T$2,L354)-J354)/30.44,1)</f>
        <v/>
      </c>
      <c r="U354" s="6">
        <f>IF(AND(P354&lt;'Subscriptions'!$T$4,O354&lt;='Subscriptions'!$T$5),1,0)</f>
        <v/>
      </c>
    </row>
    <row r="355">
      <c r="A355" s="6" t="inlineStr">
        <is>
          <t>CUST-0354</t>
        </is>
      </c>
      <c r="B355" s="6" t="inlineStr">
        <is>
          <t>Business</t>
        </is>
      </c>
      <c r="C355" s="6" t="inlineStr">
        <is>
          <t>Annual</t>
        </is>
      </c>
      <c r="D355" s="6" t="inlineStr">
        <is>
          <t>Finance</t>
        </is>
      </c>
      <c r="E355" s="6" t="inlineStr">
        <is>
          <t>1-10</t>
        </is>
      </c>
      <c r="F355" s="6" t="n">
        <v>8</v>
      </c>
      <c r="G355" s="6" t="n">
        <v>346.76</v>
      </c>
      <c r="H355" s="6" t="inlineStr">
        <is>
          <t>Partner</t>
        </is>
      </c>
      <c r="I355" s="6" t="inlineStr">
        <is>
          <t>North America</t>
        </is>
      </c>
      <c r="J355" s="7" t="n">
        <v>44737</v>
      </c>
      <c r="K355" s="6" t="inlineStr">
        <is>
          <t>Yes</t>
        </is>
      </c>
      <c r="L355" s="7" t="n">
        <v>45655</v>
      </c>
      <c r="M355" s="6" t="inlineStr">
        <is>
          <t>Poor Support</t>
        </is>
      </c>
      <c r="N355" s="6" t="n">
        <v>10</v>
      </c>
      <c r="O355" s="6" t="n">
        <v>6</v>
      </c>
      <c r="P355" s="6" t="n">
        <v>30</v>
      </c>
      <c r="Q355" s="6" t="inlineStr">
        <is>
          <t>No</t>
        </is>
      </c>
      <c r="R355" s="6">
        <f>IF(K355="Yes",1,0)</f>
        <v/>
      </c>
      <c r="S355" s="6">
        <f>IF(K355="No",1,0)</f>
        <v/>
      </c>
      <c r="T355" s="6">
        <f>ROUND((IF(L355="",'Subscriptions'!$T$2,L355)-J355)/30.44,1)</f>
        <v/>
      </c>
      <c r="U355" s="6">
        <f>IF(AND(P355&lt;'Subscriptions'!$T$4,O355&lt;='Subscriptions'!$T$5),1,0)</f>
        <v/>
      </c>
    </row>
    <row r="356">
      <c r="A356" s="6" t="inlineStr">
        <is>
          <t>CUST-0355</t>
        </is>
      </c>
      <c r="B356" s="6" t="inlineStr">
        <is>
          <t>Starter</t>
        </is>
      </c>
      <c r="C356" s="6" t="inlineStr">
        <is>
          <t>Annual</t>
        </is>
      </c>
      <c r="D356" s="6" t="inlineStr">
        <is>
          <t>Healthcare</t>
        </is>
      </c>
      <c r="E356" s="6" t="inlineStr">
        <is>
          <t>51-200</t>
        </is>
      </c>
      <c r="F356" s="6" t="n">
        <v>43</v>
      </c>
      <c r="G356" s="6" t="n">
        <v>179.94</v>
      </c>
      <c r="H356" s="6" t="inlineStr">
        <is>
          <t>Organic Search</t>
        </is>
      </c>
      <c r="I356" s="6" t="inlineStr">
        <is>
          <t>North America</t>
        </is>
      </c>
      <c r="J356" s="7" t="n">
        <v>45592</v>
      </c>
      <c r="K356" s="6" t="inlineStr">
        <is>
          <t>No</t>
        </is>
      </c>
      <c r="L356" s="7" t="n"/>
      <c r="M356" s="6" t="n"/>
      <c r="N356" s="6" t="n">
        <v>3</v>
      </c>
      <c r="O356" s="6" t="n">
        <v>3</v>
      </c>
      <c r="P356" s="6" t="n">
        <v>63</v>
      </c>
      <c r="Q356" s="6" t="inlineStr">
        <is>
          <t>No</t>
        </is>
      </c>
      <c r="R356" s="6">
        <f>IF(K356="Yes",1,0)</f>
        <v/>
      </c>
      <c r="S356" s="6">
        <f>IF(K356="No",1,0)</f>
        <v/>
      </c>
      <c r="T356" s="6">
        <f>ROUND((IF(L356="",'Subscriptions'!$T$2,L356)-J356)/30.44,1)</f>
        <v/>
      </c>
      <c r="U356" s="6">
        <f>IF(AND(P356&lt;'Subscriptions'!$T$4,O356&lt;='Subscriptions'!$T$5),1,0)</f>
        <v/>
      </c>
    </row>
    <row r="357">
      <c r="A357" s="6" t="inlineStr">
        <is>
          <t>CUST-0356</t>
        </is>
      </c>
      <c r="B357" s="6" t="inlineStr">
        <is>
          <t>Starter</t>
        </is>
      </c>
      <c r="C357" s="6" t="inlineStr">
        <is>
          <t>Annual</t>
        </is>
      </c>
      <c r="D357" s="6" t="inlineStr">
        <is>
          <t>Media</t>
        </is>
      </c>
      <c r="E357" s="6" t="inlineStr">
        <is>
          <t>11-50</t>
        </is>
      </c>
      <c r="F357" s="6" t="n">
        <v>6</v>
      </c>
      <c r="G357" s="6" t="n">
        <v>43.14</v>
      </c>
      <c r="H357" s="6" t="inlineStr">
        <is>
          <t>Organic Search</t>
        </is>
      </c>
      <c r="I357" s="6" t="inlineStr">
        <is>
          <t>North America</t>
        </is>
      </c>
      <c r="J357" s="7" t="n">
        <v>44817</v>
      </c>
      <c r="K357" s="6" t="inlineStr">
        <is>
          <t>Yes</t>
        </is>
      </c>
      <c r="L357" s="7" t="n">
        <v>44870</v>
      </c>
      <c r="M357" s="6" t="inlineStr">
        <is>
          <t>Poor Support</t>
        </is>
      </c>
      <c r="N357" s="6" t="n">
        <v>15</v>
      </c>
      <c r="O357" s="6" t="n">
        <v>3</v>
      </c>
      <c r="P357" s="6" t="n">
        <v>46</v>
      </c>
      <c r="Q357" s="6" t="inlineStr">
        <is>
          <t>No</t>
        </is>
      </c>
      <c r="R357" s="6">
        <f>IF(K357="Yes",1,0)</f>
        <v/>
      </c>
      <c r="S357" s="6">
        <f>IF(K357="No",1,0)</f>
        <v/>
      </c>
      <c r="T357" s="6">
        <f>ROUND((IF(L357="",'Subscriptions'!$T$2,L357)-J357)/30.44,1)</f>
        <v/>
      </c>
      <c r="U357" s="6">
        <f>IF(AND(P357&lt;'Subscriptions'!$T$4,O357&lt;='Subscriptions'!$T$5),1,0)</f>
        <v/>
      </c>
    </row>
    <row r="358">
      <c r="A358" s="6" t="inlineStr">
        <is>
          <t>CUST-0357</t>
        </is>
      </c>
      <c r="B358" s="6" t="inlineStr">
        <is>
          <t>Starter</t>
        </is>
      </c>
      <c r="C358" s="6" t="inlineStr">
        <is>
          <t>Annual</t>
        </is>
      </c>
      <c r="D358" s="6" t="inlineStr">
        <is>
          <t>Healthcare</t>
        </is>
      </c>
      <c r="E358" s="6" t="inlineStr">
        <is>
          <t>201-500</t>
        </is>
      </c>
      <c r="F358" s="6" t="n">
        <v>92</v>
      </c>
      <c r="G358" s="6" t="n">
        <v>361.12</v>
      </c>
      <c r="H358" s="6" t="inlineStr">
        <is>
          <t>Organic Search</t>
        </is>
      </c>
      <c r="I358" s="6" t="inlineStr">
        <is>
          <t>North America</t>
        </is>
      </c>
      <c r="J358" s="7" t="n">
        <v>44949</v>
      </c>
      <c r="K358" s="6" t="inlineStr">
        <is>
          <t>Yes</t>
        </is>
      </c>
      <c r="L358" s="7" t="n">
        <v>45080</v>
      </c>
      <c r="M358" s="6" t="inlineStr">
        <is>
          <t>Missing Features</t>
        </is>
      </c>
      <c r="N358" s="6" t="n">
        <v>13</v>
      </c>
      <c r="O358" s="6" t="n">
        <v>1</v>
      </c>
      <c r="P358" s="6" t="n">
        <v>38</v>
      </c>
      <c r="Q358" s="6" t="inlineStr">
        <is>
          <t>No</t>
        </is>
      </c>
      <c r="R358" s="6">
        <f>IF(K358="Yes",1,0)</f>
        <v/>
      </c>
      <c r="S358" s="6">
        <f>IF(K358="No",1,0)</f>
        <v/>
      </c>
      <c r="T358" s="6">
        <f>ROUND((IF(L358="",'Subscriptions'!$T$2,L358)-J358)/30.44,1)</f>
        <v/>
      </c>
      <c r="U358" s="6">
        <f>IF(AND(P358&lt;'Subscriptions'!$T$4,O358&lt;='Subscriptions'!$T$5),1,0)</f>
        <v/>
      </c>
    </row>
    <row r="359">
      <c r="A359" s="6" t="inlineStr">
        <is>
          <t>CUST-0358</t>
        </is>
      </c>
      <c r="B359" s="6" t="inlineStr">
        <is>
          <t>Starter</t>
        </is>
      </c>
      <c r="C359" s="6" t="inlineStr">
        <is>
          <t>Annual</t>
        </is>
      </c>
      <c r="D359" s="6" t="inlineStr">
        <is>
          <t>Consulting</t>
        </is>
      </c>
      <c r="E359" s="6" t="inlineStr">
        <is>
          <t>51-200</t>
        </is>
      </c>
      <c r="F359" s="6" t="n">
        <v>30</v>
      </c>
      <c r="G359" s="6" t="n">
        <v>131.88</v>
      </c>
      <c r="H359" s="6" t="inlineStr">
        <is>
          <t>Referral</t>
        </is>
      </c>
      <c r="I359" s="6" t="inlineStr">
        <is>
          <t>Europe</t>
        </is>
      </c>
      <c r="J359" s="7" t="n">
        <v>45712</v>
      </c>
      <c r="K359" s="6" t="inlineStr">
        <is>
          <t>No</t>
        </is>
      </c>
      <c r="L359" s="7" t="n"/>
      <c r="M359" s="6" t="n"/>
      <c r="N359" s="6" t="n">
        <v>1</v>
      </c>
      <c r="O359" s="6" t="n">
        <v>7</v>
      </c>
      <c r="P359" s="6" t="n">
        <v>39</v>
      </c>
      <c r="Q359" s="6" t="inlineStr">
        <is>
          <t>No</t>
        </is>
      </c>
      <c r="R359" s="6">
        <f>IF(K359="Yes",1,0)</f>
        <v/>
      </c>
      <c r="S359" s="6">
        <f>IF(K359="No",1,0)</f>
        <v/>
      </c>
      <c r="T359" s="6">
        <f>ROUND((IF(L359="",'Subscriptions'!$T$2,L359)-J359)/30.44,1)</f>
        <v/>
      </c>
      <c r="U359" s="6">
        <f>IF(AND(P359&lt;'Subscriptions'!$T$4,O359&lt;='Subscriptions'!$T$5),1,0)</f>
        <v/>
      </c>
    </row>
    <row r="360">
      <c r="A360" s="6" t="inlineStr">
        <is>
          <t>CUST-0359</t>
        </is>
      </c>
      <c r="B360" s="6" t="inlineStr">
        <is>
          <t>Business</t>
        </is>
      </c>
      <c r="C360" s="6" t="inlineStr">
        <is>
          <t>Monthly</t>
        </is>
      </c>
      <c r="D360" s="6" t="inlineStr">
        <is>
          <t>Healthcare</t>
        </is>
      </c>
      <c r="E360" s="6" t="inlineStr">
        <is>
          <t>201-500</t>
        </is>
      </c>
      <c r="F360" s="6" t="n">
        <v>118</v>
      </c>
      <c r="G360" s="6" t="n">
        <v>3691.45</v>
      </c>
      <c r="H360" s="6" t="inlineStr">
        <is>
          <t>Direct Sales</t>
        </is>
      </c>
      <c r="I360" s="6" t="inlineStr">
        <is>
          <t>Asia Pacific</t>
        </is>
      </c>
      <c r="J360" s="7" t="n">
        <v>45841</v>
      </c>
      <c r="K360" s="6" t="inlineStr">
        <is>
          <t>No</t>
        </is>
      </c>
      <c r="L360" s="7" t="n"/>
      <c r="M360" s="6" t="n"/>
      <c r="N360" s="6" t="n">
        <v>10</v>
      </c>
      <c r="O360" s="6" t="n">
        <v>5</v>
      </c>
      <c r="P360" s="6" t="n">
        <v>87</v>
      </c>
      <c r="Q360" s="6" t="inlineStr">
        <is>
          <t>No</t>
        </is>
      </c>
      <c r="R360" s="6">
        <f>IF(K360="Yes",1,0)</f>
        <v/>
      </c>
      <c r="S360" s="6">
        <f>IF(K360="No",1,0)</f>
        <v/>
      </c>
      <c r="T360" s="6">
        <f>ROUND((IF(L360="",'Subscriptions'!$T$2,L360)-J360)/30.44,1)</f>
        <v/>
      </c>
      <c r="U360" s="6">
        <f>IF(AND(P360&lt;'Subscriptions'!$T$4,O360&lt;='Subscriptions'!$T$5),1,0)</f>
        <v/>
      </c>
    </row>
    <row r="361">
      <c r="A361" s="6" t="inlineStr">
        <is>
          <t>CUST-0360</t>
        </is>
      </c>
      <c r="B361" s="6" t="inlineStr">
        <is>
          <t>Starter</t>
        </is>
      </c>
      <c r="C361" s="6" t="inlineStr">
        <is>
          <t>Annual</t>
        </is>
      </c>
      <c r="D361" s="6" t="inlineStr">
        <is>
          <t>Consulting</t>
        </is>
      </c>
      <c r="E361" s="6" t="inlineStr">
        <is>
          <t>1-10</t>
        </is>
      </c>
      <c r="F361" s="6" t="n">
        <v>2</v>
      </c>
      <c r="G361" s="6" t="n">
        <v>28.35</v>
      </c>
      <c r="H361" s="6" t="inlineStr">
        <is>
          <t>Social Media</t>
        </is>
      </c>
      <c r="I361" s="6" t="inlineStr">
        <is>
          <t>Europe</t>
        </is>
      </c>
      <c r="J361" s="7" t="n">
        <v>44780</v>
      </c>
      <c r="K361" s="6" t="inlineStr">
        <is>
          <t>No</t>
        </is>
      </c>
      <c r="L361" s="7" t="n"/>
      <c r="M361" s="6" t="n"/>
      <c r="N361" s="6" t="n">
        <v>11</v>
      </c>
      <c r="O361" s="6" t="n">
        <v>6</v>
      </c>
      <c r="P361" s="6" t="n">
        <v>20</v>
      </c>
      <c r="Q361" s="6" t="inlineStr">
        <is>
          <t>No</t>
        </is>
      </c>
      <c r="R361" s="6">
        <f>IF(K361="Yes",1,0)</f>
        <v/>
      </c>
      <c r="S361" s="6">
        <f>IF(K361="No",1,0)</f>
        <v/>
      </c>
      <c r="T361" s="6">
        <f>ROUND((IF(L361="",'Subscriptions'!$T$2,L361)-J361)/30.44,1)</f>
        <v/>
      </c>
      <c r="U361" s="6">
        <f>IF(AND(P361&lt;'Subscriptions'!$T$4,O361&lt;='Subscriptions'!$T$5),1,0)</f>
        <v/>
      </c>
    </row>
    <row r="362">
      <c r="A362" s="6" t="inlineStr">
        <is>
          <t>CUST-0361</t>
        </is>
      </c>
      <c r="B362" s="6" t="inlineStr">
        <is>
          <t>Professional</t>
        </is>
      </c>
      <c r="C362" s="6" t="inlineStr">
        <is>
          <t>Annual</t>
        </is>
      </c>
      <c r="D362" s="6" t="inlineStr">
        <is>
          <t>Retail</t>
        </is>
      </c>
      <c r="E362" s="6" t="inlineStr">
        <is>
          <t>1-10</t>
        </is>
      </c>
      <c r="F362" s="6" t="n">
        <v>7</v>
      </c>
      <c r="G362" s="6" t="n">
        <v>127.59</v>
      </c>
      <c r="H362" s="6" t="inlineStr">
        <is>
          <t>Paid Ads</t>
        </is>
      </c>
      <c r="I362" s="6" t="inlineStr">
        <is>
          <t>Europe</t>
        </is>
      </c>
      <c r="J362" s="7" t="n">
        <v>45451</v>
      </c>
      <c r="K362" s="6" t="inlineStr">
        <is>
          <t>No</t>
        </is>
      </c>
      <c r="L362" s="7" t="n"/>
      <c r="M362" s="6" t="n"/>
      <c r="N362" s="6" t="n">
        <v>12</v>
      </c>
      <c r="O362" s="6" t="n">
        <v>7</v>
      </c>
      <c r="P362" s="6" t="n">
        <v>31</v>
      </c>
      <c r="Q362" s="6" t="inlineStr">
        <is>
          <t>No</t>
        </is>
      </c>
      <c r="R362" s="6">
        <f>IF(K362="Yes",1,0)</f>
        <v/>
      </c>
      <c r="S362" s="6">
        <f>IF(K362="No",1,0)</f>
        <v/>
      </c>
      <c r="T362" s="6">
        <f>ROUND((IF(L362="",'Subscriptions'!$T$2,L362)-J362)/30.44,1)</f>
        <v/>
      </c>
      <c r="U362" s="6">
        <f>IF(AND(P362&lt;'Subscriptions'!$T$4,O362&lt;='Subscriptions'!$T$5),1,0)</f>
        <v/>
      </c>
    </row>
    <row r="363">
      <c r="A363" s="6" t="inlineStr">
        <is>
          <t>CUST-0362</t>
        </is>
      </c>
      <c r="B363" s="6" t="inlineStr">
        <is>
          <t>Enterprise</t>
        </is>
      </c>
      <c r="C363" s="6" t="inlineStr">
        <is>
          <t>Monthly</t>
        </is>
      </c>
      <c r="D363" s="6" t="inlineStr">
        <is>
          <t>Healthcare</t>
        </is>
      </c>
      <c r="E363" s="6" t="inlineStr">
        <is>
          <t>51-200</t>
        </is>
      </c>
      <c r="F363" s="6" t="n">
        <v>59</v>
      </c>
      <c r="G363" s="6" t="n">
        <v>4840.3</v>
      </c>
      <c r="H363" s="6" t="inlineStr">
        <is>
          <t>Organic Search</t>
        </is>
      </c>
      <c r="I363" s="6" t="inlineStr">
        <is>
          <t>North America</t>
        </is>
      </c>
      <c r="J363" s="7" t="n">
        <v>45190</v>
      </c>
      <c r="K363" s="6" t="inlineStr">
        <is>
          <t>No</t>
        </is>
      </c>
      <c r="L363" s="7" t="n"/>
      <c r="M363" s="6" t="n"/>
      <c r="N363" s="6" t="n">
        <v>0</v>
      </c>
      <c r="O363" s="6" t="n">
        <v>3</v>
      </c>
      <c r="P363" s="6" t="n">
        <v>90</v>
      </c>
      <c r="Q363" s="6" t="inlineStr">
        <is>
          <t>No</t>
        </is>
      </c>
      <c r="R363" s="6">
        <f>IF(K363="Yes",1,0)</f>
        <v/>
      </c>
      <c r="S363" s="6">
        <f>IF(K363="No",1,0)</f>
        <v/>
      </c>
      <c r="T363" s="6">
        <f>ROUND((IF(L363="",'Subscriptions'!$T$2,L363)-J363)/30.44,1)</f>
        <v/>
      </c>
      <c r="U363" s="6">
        <f>IF(AND(P363&lt;'Subscriptions'!$T$4,O363&lt;='Subscriptions'!$T$5),1,0)</f>
        <v/>
      </c>
    </row>
    <row r="364">
      <c r="A364" s="6" t="inlineStr">
        <is>
          <t>CUST-0363</t>
        </is>
      </c>
      <c r="B364" s="6" t="inlineStr">
        <is>
          <t>Enterprise</t>
        </is>
      </c>
      <c r="C364" s="6" t="inlineStr">
        <is>
          <t>Monthly</t>
        </is>
      </c>
      <c r="D364" s="6" t="inlineStr">
        <is>
          <t>Technology</t>
        </is>
      </c>
      <c r="E364" s="6" t="inlineStr">
        <is>
          <t>1-10</t>
        </is>
      </c>
      <c r="F364" s="6" t="n">
        <v>7</v>
      </c>
      <c r="G364" s="6" t="n">
        <v>948.1</v>
      </c>
      <c r="H364" s="6" t="inlineStr">
        <is>
          <t>Social Media</t>
        </is>
      </c>
      <c r="I364" s="6" t="inlineStr">
        <is>
          <t>North America</t>
        </is>
      </c>
      <c r="J364" s="7" t="n">
        <v>45357</v>
      </c>
      <c r="K364" s="6" t="inlineStr">
        <is>
          <t>No</t>
        </is>
      </c>
      <c r="L364" s="7" t="n"/>
      <c r="M364" s="6" t="n"/>
      <c r="N364" s="6" t="n">
        <v>2</v>
      </c>
      <c r="O364" s="6" t="n">
        <v>6</v>
      </c>
      <c r="P364" s="6" t="n">
        <v>41</v>
      </c>
      <c r="Q364" s="6" t="inlineStr">
        <is>
          <t>No</t>
        </is>
      </c>
      <c r="R364" s="6">
        <f>IF(K364="Yes",1,0)</f>
        <v/>
      </c>
      <c r="S364" s="6">
        <f>IF(K364="No",1,0)</f>
        <v/>
      </c>
      <c r="T364" s="6">
        <f>ROUND((IF(L364="",'Subscriptions'!$T$2,L364)-J364)/30.44,1)</f>
        <v/>
      </c>
      <c r="U364" s="6">
        <f>IF(AND(P364&lt;'Subscriptions'!$T$4,O364&lt;='Subscriptions'!$T$5),1,0)</f>
        <v/>
      </c>
    </row>
    <row r="365">
      <c r="A365" s="6" t="inlineStr">
        <is>
          <t>CUST-0364</t>
        </is>
      </c>
      <c r="B365" s="6" t="inlineStr">
        <is>
          <t>Business</t>
        </is>
      </c>
      <c r="C365" s="6" t="inlineStr">
        <is>
          <t>Monthly</t>
        </is>
      </c>
      <c r="D365" s="6" t="inlineStr">
        <is>
          <t>Legal</t>
        </is>
      </c>
      <c r="E365" s="6" t="inlineStr">
        <is>
          <t>11-50</t>
        </is>
      </c>
      <c r="F365" s="6" t="n">
        <v>17</v>
      </c>
      <c r="G365" s="6" t="n">
        <v>676.6</v>
      </c>
      <c r="H365" s="6" t="inlineStr">
        <is>
          <t>Partner</t>
        </is>
      </c>
      <c r="I365" s="6" t="inlineStr">
        <is>
          <t>North America</t>
        </is>
      </c>
      <c r="J365" s="7" t="n">
        <v>44656</v>
      </c>
      <c r="K365" s="6" t="inlineStr">
        <is>
          <t>Yes</t>
        </is>
      </c>
      <c r="L365" s="7" t="n">
        <v>45920</v>
      </c>
      <c r="M365" s="6" t="inlineStr">
        <is>
          <t>Price Too High</t>
        </is>
      </c>
      <c r="N365" s="6" t="n">
        <v>7</v>
      </c>
      <c r="O365" s="6" t="n">
        <v>4</v>
      </c>
      <c r="P365" s="6" t="n">
        <v>13</v>
      </c>
      <c r="Q365" s="6" t="inlineStr">
        <is>
          <t>No</t>
        </is>
      </c>
      <c r="R365" s="6">
        <f>IF(K365="Yes",1,0)</f>
        <v/>
      </c>
      <c r="S365" s="6">
        <f>IF(K365="No",1,0)</f>
        <v/>
      </c>
      <c r="T365" s="6">
        <f>ROUND((IF(L365="",'Subscriptions'!$T$2,L365)-J365)/30.44,1)</f>
        <v/>
      </c>
      <c r="U365" s="6">
        <f>IF(AND(P365&lt;'Subscriptions'!$T$4,O365&lt;='Subscriptions'!$T$5),1,0)</f>
        <v/>
      </c>
    </row>
    <row r="366">
      <c r="A366" s="6" t="inlineStr">
        <is>
          <t>CUST-0365</t>
        </is>
      </c>
      <c r="B366" s="6" t="inlineStr">
        <is>
          <t>Starter</t>
        </is>
      </c>
      <c r="C366" s="6" t="inlineStr">
        <is>
          <t>Monthly</t>
        </is>
      </c>
      <c r="D366" s="6" t="inlineStr">
        <is>
          <t>Consulting</t>
        </is>
      </c>
      <c r="E366" s="6" t="inlineStr">
        <is>
          <t>11-50</t>
        </is>
      </c>
      <c r="F366" s="6" t="n">
        <v>14</v>
      </c>
      <c r="G366" s="6" t="n">
        <v>85.55</v>
      </c>
      <c r="H366" s="6" t="inlineStr">
        <is>
          <t>Partner</t>
        </is>
      </c>
      <c r="I366" s="6" t="inlineStr">
        <is>
          <t>Latin America</t>
        </is>
      </c>
      <c r="J366" s="7" t="n">
        <v>45362</v>
      </c>
      <c r="K366" s="6" t="inlineStr">
        <is>
          <t>Yes</t>
        </is>
      </c>
      <c r="L366" s="7" t="n">
        <v>45450</v>
      </c>
      <c r="M366" s="6" t="inlineStr">
        <is>
          <t>Switched Competitor</t>
        </is>
      </c>
      <c r="N366" s="6" t="n">
        <v>9</v>
      </c>
      <c r="O366" s="6" t="n">
        <v>2</v>
      </c>
      <c r="P366" s="6" t="n">
        <v>14</v>
      </c>
      <c r="Q366" s="6" t="inlineStr">
        <is>
          <t>No</t>
        </is>
      </c>
      <c r="R366" s="6">
        <f>IF(K366="Yes",1,0)</f>
        <v/>
      </c>
      <c r="S366" s="6">
        <f>IF(K366="No",1,0)</f>
        <v/>
      </c>
      <c r="T366" s="6">
        <f>ROUND((IF(L366="",'Subscriptions'!$T$2,L366)-J366)/30.44,1)</f>
        <v/>
      </c>
      <c r="U366" s="6">
        <f>IF(AND(P366&lt;'Subscriptions'!$T$4,O366&lt;='Subscriptions'!$T$5),1,0)</f>
        <v/>
      </c>
    </row>
    <row r="367">
      <c r="A367" s="6" t="inlineStr">
        <is>
          <t>CUST-0366</t>
        </is>
      </c>
      <c r="B367" s="6" t="inlineStr">
        <is>
          <t>Professional</t>
        </is>
      </c>
      <c r="C367" s="6" t="inlineStr">
        <is>
          <t>Monthly</t>
        </is>
      </c>
      <c r="D367" s="6" t="inlineStr">
        <is>
          <t>Education</t>
        </is>
      </c>
      <c r="E367" s="6" t="inlineStr">
        <is>
          <t>51-200</t>
        </is>
      </c>
      <c r="F367" s="6" t="n">
        <v>52</v>
      </c>
      <c r="G367" s="6" t="n">
        <v>683.35</v>
      </c>
      <c r="H367" s="6" t="inlineStr">
        <is>
          <t>Paid Ads</t>
        </is>
      </c>
      <c r="I367" s="6" t="inlineStr">
        <is>
          <t>North America</t>
        </is>
      </c>
      <c r="J367" s="7" t="n">
        <v>45928</v>
      </c>
      <c r="K367" s="6" t="inlineStr">
        <is>
          <t>No</t>
        </is>
      </c>
      <c r="L367" s="7" t="n"/>
      <c r="M367" s="6" t="n"/>
      <c r="N367" s="6" t="n">
        <v>11</v>
      </c>
      <c r="O367" s="6" t="n">
        <v>8</v>
      </c>
      <c r="P367" s="6" t="n">
        <v>17</v>
      </c>
      <c r="Q367" s="6" t="inlineStr">
        <is>
          <t>No</t>
        </is>
      </c>
      <c r="R367" s="6">
        <f>IF(K367="Yes",1,0)</f>
        <v/>
      </c>
      <c r="S367" s="6">
        <f>IF(K367="No",1,0)</f>
        <v/>
      </c>
      <c r="T367" s="6">
        <f>ROUND((IF(L367="",'Subscriptions'!$T$2,L367)-J367)/30.44,1)</f>
        <v/>
      </c>
      <c r="U367" s="6">
        <f>IF(AND(P367&lt;'Subscriptions'!$T$4,O367&lt;='Subscriptions'!$T$5),1,0)</f>
        <v/>
      </c>
    </row>
    <row r="368">
      <c r="A368" s="6" t="inlineStr">
        <is>
          <t>CUST-0367</t>
        </is>
      </c>
      <c r="B368" s="6" t="inlineStr">
        <is>
          <t>Starter</t>
        </is>
      </c>
      <c r="C368" s="6" t="inlineStr">
        <is>
          <t>Annual</t>
        </is>
      </c>
      <c r="D368" s="6" t="inlineStr">
        <is>
          <t>Consulting</t>
        </is>
      </c>
      <c r="E368" s="6" t="inlineStr">
        <is>
          <t>1-10</t>
        </is>
      </c>
      <c r="F368" s="6" t="n">
        <v>5</v>
      </c>
      <c r="G368" s="6" t="n">
        <v>39.44</v>
      </c>
      <c r="H368" s="6" t="inlineStr">
        <is>
          <t>Referral</t>
        </is>
      </c>
      <c r="I368" s="6" t="inlineStr">
        <is>
          <t>North America</t>
        </is>
      </c>
      <c r="J368" s="7" t="n">
        <v>45136</v>
      </c>
      <c r="K368" s="6" t="inlineStr">
        <is>
          <t>No</t>
        </is>
      </c>
      <c r="L368" s="7" t="n"/>
      <c r="M368" s="6" t="n"/>
      <c r="N368" s="6" t="n">
        <v>1</v>
      </c>
      <c r="O368" s="6" t="n">
        <v>3</v>
      </c>
      <c r="P368" s="6" t="n">
        <v>80</v>
      </c>
      <c r="Q368" s="6" t="inlineStr">
        <is>
          <t>No</t>
        </is>
      </c>
      <c r="R368" s="6">
        <f>IF(K368="Yes",1,0)</f>
        <v/>
      </c>
      <c r="S368" s="6">
        <f>IF(K368="No",1,0)</f>
        <v/>
      </c>
      <c r="T368" s="6">
        <f>ROUND((IF(L368="",'Subscriptions'!$T$2,L368)-J368)/30.44,1)</f>
        <v/>
      </c>
      <c r="U368" s="6">
        <f>IF(AND(P368&lt;'Subscriptions'!$T$4,O368&lt;='Subscriptions'!$T$5),1,0)</f>
        <v/>
      </c>
    </row>
    <row r="369">
      <c r="A369" s="6" t="inlineStr">
        <is>
          <t>CUST-0368</t>
        </is>
      </c>
      <c r="B369" s="6" t="inlineStr">
        <is>
          <t>Professional</t>
        </is>
      </c>
      <c r="C369" s="6" t="inlineStr">
        <is>
          <t>Annual</t>
        </is>
      </c>
      <c r="D369" s="6" t="inlineStr">
        <is>
          <t>Media</t>
        </is>
      </c>
      <c r="E369" s="6" t="inlineStr">
        <is>
          <t>11-50</t>
        </is>
      </c>
      <c r="F369" s="6" t="n">
        <v>25</v>
      </c>
      <c r="G369" s="6" t="n">
        <v>308.89</v>
      </c>
      <c r="H369" s="6" t="inlineStr">
        <is>
          <t>Partner</t>
        </is>
      </c>
      <c r="I369" s="6" t="inlineStr">
        <is>
          <t>North America</t>
        </is>
      </c>
      <c r="J369" s="7" t="n">
        <v>45429</v>
      </c>
      <c r="K369" s="6" t="inlineStr">
        <is>
          <t>No</t>
        </is>
      </c>
      <c r="L369" s="7" t="n"/>
      <c r="M369" s="6" t="n"/>
      <c r="N369" s="6" t="n">
        <v>3</v>
      </c>
      <c r="O369" s="6" t="n">
        <v>6</v>
      </c>
      <c r="P369" s="6" t="n">
        <v>92</v>
      </c>
      <c r="Q369" s="6" t="inlineStr">
        <is>
          <t>No</t>
        </is>
      </c>
      <c r="R369" s="6">
        <f>IF(K369="Yes",1,0)</f>
        <v/>
      </c>
      <c r="S369" s="6">
        <f>IF(K369="No",1,0)</f>
        <v/>
      </c>
      <c r="T369" s="6">
        <f>ROUND((IF(L369="",'Subscriptions'!$T$2,L369)-J369)/30.44,1)</f>
        <v/>
      </c>
      <c r="U369" s="6">
        <f>IF(AND(P369&lt;'Subscriptions'!$T$4,O369&lt;='Subscriptions'!$T$5),1,0)</f>
        <v/>
      </c>
    </row>
    <row r="370">
      <c r="A370" s="6" t="inlineStr">
        <is>
          <t>CUST-0369</t>
        </is>
      </c>
      <c r="B370" s="6" t="inlineStr">
        <is>
          <t>Enterprise</t>
        </is>
      </c>
      <c r="C370" s="6" t="inlineStr">
        <is>
          <t>Monthly</t>
        </is>
      </c>
      <c r="D370" s="6" t="inlineStr">
        <is>
          <t>Retail</t>
        </is>
      </c>
      <c r="E370" s="6" t="inlineStr">
        <is>
          <t>11-50</t>
        </is>
      </c>
      <c r="F370" s="6" t="n">
        <v>25</v>
      </c>
      <c r="G370" s="6" t="n">
        <v>2295.4</v>
      </c>
      <c r="H370" s="6" t="inlineStr">
        <is>
          <t>Direct Sales</t>
        </is>
      </c>
      <c r="I370" s="6" t="inlineStr">
        <is>
          <t>North America</t>
        </is>
      </c>
      <c r="J370" s="7" t="n">
        <v>45725</v>
      </c>
      <c r="K370" s="6" t="inlineStr">
        <is>
          <t>Yes</t>
        </is>
      </c>
      <c r="L370" s="7" t="n">
        <v>45775</v>
      </c>
      <c r="M370" s="6" t="inlineStr">
        <is>
          <t>Switched Competitor</t>
        </is>
      </c>
      <c r="N370" s="6" t="n">
        <v>9</v>
      </c>
      <c r="O370" s="6" t="n">
        <v>6</v>
      </c>
      <c r="P370" s="6" t="n">
        <v>37</v>
      </c>
      <c r="Q370" s="6" t="inlineStr">
        <is>
          <t>No</t>
        </is>
      </c>
      <c r="R370" s="6">
        <f>IF(K370="Yes",1,0)</f>
        <v/>
      </c>
      <c r="S370" s="6">
        <f>IF(K370="No",1,0)</f>
        <v/>
      </c>
      <c r="T370" s="6">
        <f>ROUND((IF(L370="",'Subscriptions'!$T$2,L370)-J370)/30.44,1)</f>
        <v/>
      </c>
      <c r="U370" s="6">
        <f>IF(AND(P370&lt;'Subscriptions'!$T$4,O370&lt;='Subscriptions'!$T$5),1,0)</f>
        <v/>
      </c>
    </row>
    <row r="371">
      <c r="A371" s="6" t="inlineStr">
        <is>
          <t>CUST-0370</t>
        </is>
      </c>
      <c r="B371" s="6" t="inlineStr">
        <is>
          <t>Starter</t>
        </is>
      </c>
      <c r="C371" s="6" t="inlineStr">
        <is>
          <t>Monthly</t>
        </is>
      </c>
      <c r="D371" s="6" t="inlineStr">
        <is>
          <t>Real Estate</t>
        </is>
      </c>
      <c r="E371" s="6" t="inlineStr">
        <is>
          <t>201-500</t>
        </is>
      </c>
      <c r="F371" s="6" t="n">
        <v>117</v>
      </c>
      <c r="G371" s="6" t="n">
        <v>533.6</v>
      </c>
      <c r="H371" s="6" t="inlineStr">
        <is>
          <t>Organic Search</t>
        </is>
      </c>
      <c r="I371" s="6" t="inlineStr">
        <is>
          <t>North America</t>
        </is>
      </c>
      <c r="J371" s="7" t="n">
        <v>45492</v>
      </c>
      <c r="K371" s="6" t="inlineStr">
        <is>
          <t>Yes</t>
        </is>
      </c>
      <c r="L371" s="7" t="n">
        <v>45775</v>
      </c>
      <c r="M371" s="6" t="inlineStr">
        <is>
          <t>Price Too High</t>
        </is>
      </c>
      <c r="N371" s="6" t="n">
        <v>8</v>
      </c>
      <c r="O371" s="6" t="n">
        <v>6</v>
      </c>
      <c r="P371" s="6" t="n">
        <v>10</v>
      </c>
      <c r="Q371" s="6" t="inlineStr">
        <is>
          <t>No</t>
        </is>
      </c>
      <c r="R371" s="6">
        <f>IF(K371="Yes",1,0)</f>
        <v/>
      </c>
      <c r="S371" s="6">
        <f>IF(K371="No",1,0)</f>
        <v/>
      </c>
      <c r="T371" s="6">
        <f>ROUND((IF(L371="",'Subscriptions'!$T$2,L371)-J371)/30.44,1)</f>
        <v/>
      </c>
      <c r="U371" s="6">
        <f>IF(AND(P371&lt;'Subscriptions'!$T$4,O371&lt;='Subscriptions'!$T$5),1,0)</f>
        <v/>
      </c>
    </row>
    <row r="372">
      <c r="A372" s="6" t="inlineStr">
        <is>
          <t>CUST-0371</t>
        </is>
      </c>
      <c r="B372" s="6" t="inlineStr">
        <is>
          <t>Starter</t>
        </is>
      </c>
      <c r="C372" s="6" t="inlineStr">
        <is>
          <t>Monthly</t>
        </is>
      </c>
      <c r="D372" s="6" t="inlineStr">
        <is>
          <t>Consulting</t>
        </is>
      </c>
      <c r="E372" s="6" t="inlineStr">
        <is>
          <t>51-200</t>
        </is>
      </c>
      <c r="F372" s="6" t="n">
        <v>39</v>
      </c>
      <c r="G372" s="6" t="n">
        <v>194.3</v>
      </c>
      <c r="H372" s="6" t="inlineStr">
        <is>
          <t>Referral</t>
        </is>
      </c>
      <c r="I372" s="6" t="inlineStr">
        <is>
          <t>Latin America</t>
        </is>
      </c>
      <c r="J372" s="7" t="n">
        <v>45352</v>
      </c>
      <c r="K372" s="6" t="inlineStr">
        <is>
          <t>Yes</t>
        </is>
      </c>
      <c r="L372" s="7" t="n">
        <v>45399</v>
      </c>
      <c r="M372" s="6" t="inlineStr">
        <is>
          <t>Price Too High</t>
        </is>
      </c>
      <c r="N372" s="6" t="n">
        <v>13</v>
      </c>
      <c r="O372" s="6" t="n">
        <v>1</v>
      </c>
      <c r="P372" s="6" t="n">
        <v>22</v>
      </c>
      <c r="Q372" s="6" t="inlineStr">
        <is>
          <t>No</t>
        </is>
      </c>
      <c r="R372" s="6">
        <f>IF(K372="Yes",1,0)</f>
        <v/>
      </c>
      <c r="S372" s="6">
        <f>IF(K372="No",1,0)</f>
        <v/>
      </c>
      <c r="T372" s="6">
        <f>ROUND((IF(L372="",'Subscriptions'!$T$2,L372)-J372)/30.44,1)</f>
        <v/>
      </c>
      <c r="U372" s="6">
        <f>IF(AND(P372&lt;'Subscriptions'!$T$4,O372&lt;='Subscriptions'!$T$5),1,0)</f>
        <v/>
      </c>
    </row>
    <row r="373">
      <c r="A373" s="6" t="inlineStr">
        <is>
          <t>CUST-0372</t>
        </is>
      </c>
      <c r="B373" s="6" t="inlineStr">
        <is>
          <t>Business</t>
        </is>
      </c>
      <c r="C373" s="6" t="inlineStr">
        <is>
          <t>Monthly</t>
        </is>
      </c>
      <c r="D373" s="6" t="inlineStr">
        <is>
          <t>Legal</t>
        </is>
      </c>
      <c r="E373" s="6" t="inlineStr">
        <is>
          <t>11-50</t>
        </is>
      </c>
      <c r="F373" s="6" t="n">
        <v>29</v>
      </c>
      <c r="G373" s="6" t="n">
        <v>1034.8</v>
      </c>
      <c r="H373" s="6" t="inlineStr">
        <is>
          <t>Paid Ads</t>
        </is>
      </c>
      <c r="I373" s="6" t="inlineStr">
        <is>
          <t>Asia Pacific</t>
        </is>
      </c>
      <c r="J373" s="7" t="n">
        <v>44967</v>
      </c>
      <c r="K373" s="6" t="inlineStr">
        <is>
          <t>Yes</t>
        </is>
      </c>
      <c r="L373" s="7" t="n">
        <v>45944</v>
      </c>
      <c r="M373" s="6" t="inlineStr">
        <is>
          <t>Company Closed</t>
        </is>
      </c>
      <c r="N373" s="6" t="n">
        <v>12</v>
      </c>
      <c r="O373" s="6" t="n">
        <v>1</v>
      </c>
      <c r="P373" s="6" t="n">
        <v>34</v>
      </c>
      <c r="Q373" s="6" t="inlineStr">
        <is>
          <t>No</t>
        </is>
      </c>
      <c r="R373" s="6">
        <f>IF(K373="Yes",1,0)</f>
        <v/>
      </c>
      <c r="S373" s="6">
        <f>IF(K373="No",1,0)</f>
        <v/>
      </c>
      <c r="T373" s="6">
        <f>ROUND((IF(L373="",'Subscriptions'!$T$2,L373)-J373)/30.44,1)</f>
        <v/>
      </c>
      <c r="U373" s="6">
        <f>IF(AND(P373&lt;'Subscriptions'!$T$4,O373&lt;='Subscriptions'!$T$5),1,0)</f>
        <v/>
      </c>
    </row>
    <row r="374">
      <c r="A374" s="6" t="inlineStr">
        <is>
          <t>CUST-0373</t>
        </is>
      </c>
      <c r="B374" s="6" t="inlineStr">
        <is>
          <t>Business</t>
        </is>
      </c>
      <c r="C374" s="6" t="inlineStr">
        <is>
          <t>Monthly</t>
        </is>
      </c>
      <c r="D374" s="6" t="inlineStr">
        <is>
          <t>Finance</t>
        </is>
      </c>
      <c r="E374" s="6" t="inlineStr">
        <is>
          <t>1-10</t>
        </is>
      </c>
      <c r="F374" s="6" t="n">
        <v>4</v>
      </c>
      <c r="G374" s="6" t="n">
        <v>288.55</v>
      </c>
      <c r="H374" s="6" t="inlineStr">
        <is>
          <t>Partner</t>
        </is>
      </c>
      <c r="I374" s="6" t="inlineStr">
        <is>
          <t>Europe</t>
        </is>
      </c>
      <c r="J374" s="7" t="n">
        <v>45959</v>
      </c>
      <c r="K374" s="6" t="inlineStr">
        <is>
          <t>No</t>
        </is>
      </c>
      <c r="L374" s="7" t="n"/>
      <c r="M374" s="6" t="n"/>
      <c r="N374" s="6" t="n">
        <v>6</v>
      </c>
      <c r="O374" s="6" t="n">
        <v>2</v>
      </c>
      <c r="P374" s="6" t="n">
        <v>63</v>
      </c>
      <c r="Q374" s="6" t="inlineStr">
        <is>
          <t>No</t>
        </is>
      </c>
      <c r="R374" s="6">
        <f>IF(K374="Yes",1,0)</f>
        <v/>
      </c>
      <c r="S374" s="6">
        <f>IF(K374="No",1,0)</f>
        <v/>
      </c>
      <c r="T374" s="6">
        <f>ROUND((IF(L374="",'Subscriptions'!$T$2,L374)-J374)/30.44,1)</f>
        <v/>
      </c>
      <c r="U374" s="6">
        <f>IF(AND(P374&lt;'Subscriptions'!$T$4,O374&lt;='Subscriptions'!$T$5),1,0)</f>
        <v/>
      </c>
    </row>
    <row r="375">
      <c r="A375" s="6" t="inlineStr">
        <is>
          <t>CUST-0374</t>
        </is>
      </c>
      <c r="B375" s="6" t="inlineStr">
        <is>
          <t>Starter</t>
        </is>
      </c>
      <c r="C375" s="6" t="inlineStr">
        <is>
          <t>Monthly</t>
        </is>
      </c>
      <c r="D375" s="6" t="inlineStr">
        <is>
          <t>Real Estate</t>
        </is>
      </c>
      <c r="E375" s="6" t="inlineStr">
        <is>
          <t>201-500</t>
        </is>
      </c>
      <c r="F375" s="6" t="n">
        <v>139</v>
      </c>
      <c r="G375" s="6" t="n">
        <v>629.3</v>
      </c>
      <c r="H375" s="6" t="inlineStr">
        <is>
          <t>Paid Ads</t>
        </is>
      </c>
      <c r="I375" s="6" t="inlineStr">
        <is>
          <t>Asia Pacific</t>
        </is>
      </c>
      <c r="J375" s="7" t="n">
        <v>44569</v>
      </c>
      <c r="K375" s="6" t="inlineStr">
        <is>
          <t>Yes</t>
        </is>
      </c>
      <c r="L375" s="7" t="n">
        <v>44659</v>
      </c>
      <c r="M375" s="6" t="inlineStr">
        <is>
          <t>Missing Features</t>
        </is>
      </c>
      <c r="N375" s="6" t="n">
        <v>10</v>
      </c>
      <c r="O375" s="6" t="n">
        <v>6</v>
      </c>
      <c r="P375" s="6" t="n">
        <v>20</v>
      </c>
      <c r="Q375" s="6" t="inlineStr">
        <is>
          <t>No</t>
        </is>
      </c>
      <c r="R375" s="6">
        <f>IF(K375="Yes",1,0)</f>
        <v/>
      </c>
      <c r="S375" s="6">
        <f>IF(K375="No",1,0)</f>
        <v/>
      </c>
      <c r="T375" s="6">
        <f>ROUND((IF(L375="",'Subscriptions'!$T$2,L375)-J375)/30.44,1)</f>
        <v/>
      </c>
      <c r="U375" s="6">
        <f>IF(AND(P375&lt;'Subscriptions'!$T$4,O375&lt;='Subscriptions'!$T$5),1,0)</f>
        <v/>
      </c>
    </row>
    <row r="376">
      <c r="A376" s="6" t="inlineStr">
        <is>
          <t>CUST-0375</t>
        </is>
      </c>
      <c r="B376" s="6" t="inlineStr">
        <is>
          <t>Starter</t>
        </is>
      </c>
      <c r="C376" s="6" t="inlineStr">
        <is>
          <t>Annual</t>
        </is>
      </c>
      <c r="D376" s="6" t="inlineStr">
        <is>
          <t>Legal</t>
        </is>
      </c>
      <c r="E376" s="6" t="inlineStr">
        <is>
          <t>11-50</t>
        </is>
      </c>
      <c r="F376" s="6" t="n">
        <v>16</v>
      </c>
      <c r="G376" s="6" t="n">
        <v>80.11</v>
      </c>
      <c r="H376" s="6" t="inlineStr">
        <is>
          <t>Organic Search</t>
        </is>
      </c>
      <c r="I376" s="6" t="inlineStr">
        <is>
          <t>Europe</t>
        </is>
      </c>
      <c r="J376" s="7" t="n">
        <v>44693</v>
      </c>
      <c r="K376" s="6" t="inlineStr">
        <is>
          <t>Yes</t>
        </is>
      </c>
      <c r="L376" s="7" t="n">
        <v>44931</v>
      </c>
      <c r="M376" s="6" t="inlineStr">
        <is>
          <t>Missing Features</t>
        </is>
      </c>
      <c r="N376" s="6" t="n">
        <v>7</v>
      </c>
      <c r="O376" s="6" t="n">
        <v>5</v>
      </c>
      <c r="P376" s="6" t="n">
        <v>18</v>
      </c>
      <c r="Q376" s="6" t="inlineStr">
        <is>
          <t>No</t>
        </is>
      </c>
      <c r="R376" s="6">
        <f>IF(K376="Yes",1,0)</f>
        <v/>
      </c>
      <c r="S376" s="6">
        <f>IF(K376="No",1,0)</f>
        <v/>
      </c>
      <c r="T376" s="6">
        <f>ROUND((IF(L376="",'Subscriptions'!$T$2,L376)-J376)/30.44,1)</f>
        <v/>
      </c>
      <c r="U376" s="6">
        <f>IF(AND(P376&lt;'Subscriptions'!$T$4,O376&lt;='Subscriptions'!$T$5),1,0)</f>
        <v/>
      </c>
    </row>
    <row r="377">
      <c r="A377" s="6" t="inlineStr">
        <is>
          <t>CUST-0376</t>
        </is>
      </c>
      <c r="B377" s="6" t="inlineStr">
        <is>
          <t>Enterprise</t>
        </is>
      </c>
      <c r="C377" s="6" t="inlineStr">
        <is>
          <t>Annual</t>
        </is>
      </c>
      <c r="D377" s="6" t="inlineStr">
        <is>
          <t>Healthcare</t>
        </is>
      </c>
      <c r="E377" s="6" t="inlineStr">
        <is>
          <t>51-200</t>
        </is>
      </c>
      <c r="F377" s="6" t="n">
        <v>46</v>
      </c>
      <c r="G377" s="6" t="n">
        <v>3287.16</v>
      </c>
      <c r="H377" s="6" t="inlineStr">
        <is>
          <t>Partner</t>
        </is>
      </c>
      <c r="I377" s="6" t="inlineStr">
        <is>
          <t>North America</t>
        </is>
      </c>
      <c r="J377" s="7" t="n">
        <v>44994</v>
      </c>
      <c r="K377" s="6" t="inlineStr">
        <is>
          <t>Yes</t>
        </is>
      </c>
      <c r="L377" s="7" t="n">
        <v>45459</v>
      </c>
      <c r="M377" s="6" t="inlineStr">
        <is>
          <t>No Longer Needed</t>
        </is>
      </c>
      <c r="N377" s="6" t="n">
        <v>12</v>
      </c>
      <c r="O377" s="6" t="n">
        <v>5</v>
      </c>
      <c r="P377" s="6" t="n">
        <v>27</v>
      </c>
      <c r="Q377" s="6" t="inlineStr">
        <is>
          <t>No</t>
        </is>
      </c>
      <c r="R377" s="6">
        <f>IF(K377="Yes",1,0)</f>
        <v/>
      </c>
      <c r="S377" s="6">
        <f>IF(K377="No",1,0)</f>
        <v/>
      </c>
      <c r="T377" s="6">
        <f>ROUND((IF(L377="",'Subscriptions'!$T$2,L377)-J377)/30.44,1)</f>
        <v/>
      </c>
      <c r="U377" s="6">
        <f>IF(AND(P377&lt;'Subscriptions'!$T$4,O377&lt;='Subscriptions'!$T$5),1,0)</f>
        <v/>
      </c>
    </row>
    <row r="378">
      <c r="A378" s="6" t="inlineStr">
        <is>
          <t>CUST-0377</t>
        </is>
      </c>
      <c r="B378" s="6" t="inlineStr">
        <is>
          <t>Starter</t>
        </is>
      </c>
      <c r="C378" s="6" t="inlineStr">
        <is>
          <t>Monthly</t>
        </is>
      </c>
      <c r="D378" s="6" t="inlineStr">
        <is>
          <t>Legal</t>
        </is>
      </c>
      <c r="E378" s="6" t="inlineStr">
        <is>
          <t>11-50</t>
        </is>
      </c>
      <c r="F378" s="6" t="n">
        <v>26</v>
      </c>
      <c r="G378" s="6" t="n">
        <v>137.75</v>
      </c>
      <c r="H378" s="6" t="inlineStr">
        <is>
          <t>Organic Search</t>
        </is>
      </c>
      <c r="I378" s="6" t="inlineStr">
        <is>
          <t>Latin America</t>
        </is>
      </c>
      <c r="J378" s="7" t="n">
        <v>45191</v>
      </c>
      <c r="K378" s="6" t="inlineStr">
        <is>
          <t>Yes</t>
        </is>
      </c>
      <c r="L378" s="7" t="n">
        <v>45269</v>
      </c>
      <c r="M378" s="6" t="inlineStr">
        <is>
          <t>Poor Support</t>
        </is>
      </c>
      <c r="N378" s="6" t="n">
        <v>12</v>
      </c>
      <c r="O378" s="6" t="n">
        <v>1</v>
      </c>
      <c r="P378" s="6" t="n">
        <v>33</v>
      </c>
      <c r="Q378" s="6" t="inlineStr">
        <is>
          <t>No</t>
        </is>
      </c>
      <c r="R378" s="6">
        <f>IF(K378="Yes",1,0)</f>
        <v/>
      </c>
      <c r="S378" s="6">
        <f>IF(K378="No",1,0)</f>
        <v/>
      </c>
      <c r="T378" s="6">
        <f>ROUND((IF(L378="",'Subscriptions'!$T$2,L378)-J378)/30.44,1)</f>
        <v/>
      </c>
      <c r="U378" s="6">
        <f>IF(AND(P378&lt;'Subscriptions'!$T$4,O378&lt;='Subscriptions'!$T$5),1,0)</f>
        <v/>
      </c>
    </row>
    <row r="379">
      <c r="A379" s="6" t="inlineStr">
        <is>
          <t>CUST-0378</t>
        </is>
      </c>
      <c r="B379" s="6" t="inlineStr">
        <is>
          <t>Business</t>
        </is>
      </c>
      <c r="C379" s="6" t="inlineStr">
        <is>
          <t>Monthly</t>
        </is>
      </c>
      <c r="D379" s="6" t="inlineStr">
        <is>
          <t>Manufacturing</t>
        </is>
      </c>
      <c r="E379" s="6" t="inlineStr">
        <is>
          <t>11-50</t>
        </is>
      </c>
      <c r="F379" s="6" t="n">
        <v>5</v>
      </c>
      <c r="G379" s="6" t="n">
        <v>318.4</v>
      </c>
      <c r="H379" s="6" t="inlineStr">
        <is>
          <t>Organic Search</t>
        </is>
      </c>
      <c r="I379" s="6" t="inlineStr">
        <is>
          <t>Asia Pacific</t>
        </is>
      </c>
      <c r="J379" s="7" t="n">
        <v>44692</v>
      </c>
      <c r="K379" s="6" t="inlineStr">
        <is>
          <t>Yes</t>
        </is>
      </c>
      <c r="L379" s="7" t="n">
        <v>45237</v>
      </c>
      <c r="M379" s="6" t="inlineStr">
        <is>
          <t>Poor Support</t>
        </is>
      </c>
      <c r="N379" s="6" t="n">
        <v>10</v>
      </c>
      <c r="O379" s="6" t="n">
        <v>6</v>
      </c>
      <c r="P379" s="6" t="n">
        <v>31</v>
      </c>
      <c r="Q379" s="6" t="inlineStr">
        <is>
          <t>No</t>
        </is>
      </c>
      <c r="R379" s="6">
        <f>IF(K379="Yes",1,0)</f>
        <v/>
      </c>
      <c r="S379" s="6">
        <f>IF(K379="No",1,0)</f>
        <v/>
      </c>
      <c r="T379" s="6">
        <f>ROUND((IF(L379="",'Subscriptions'!$T$2,L379)-J379)/30.44,1)</f>
        <v/>
      </c>
      <c r="U379" s="6">
        <f>IF(AND(P379&lt;'Subscriptions'!$T$4,O379&lt;='Subscriptions'!$T$5),1,0)</f>
        <v/>
      </c>
    </row>
    <row r="380">
      <c r="A380" s="6" t="inlineStr">
        <is>
          <t>CUST-0379</t>
        </is>
      </c>
      <c r="B380" s="6" t="inlineStr">
        <is>
          <t>Starter</t>
        </is>
      </c>
      <c r="C380" s="6" t="inlineStr">
        <is>
          <t>Annual</t>
        </is>
      </c>
      <c r="D380" s="6" t="inlineStr">
        <is>
          <t>Technology</t>
        </is>
      </c>
      <c r="E380" s="6" t="inlineStr">
        <is>
          <t>201-500</t>
        </is>
      </c>
      <c r="F380" s="6" t="n">
        <v>62</v>
      </c>
      <c r="G380" s="6" t="n">
        <v>250.2</v>
      </c>
      <c r="H380" s="6" t="inlineStr">
        <is>
          <t>Social Media</t>
        </is>
      </c>
      <c r="I380" s="6" t="inlineStr">
        <is>
          <t>Asia Pacific</t>
        </is>
      </c>
      <c r="J380" s="7" t="n">
        <v>45129</v>
      </c>
      <c r="K380" s="6" t="inlineStr">
        <is>
          <t>Yes</t>
        </is>
      </c>
      <c r="L380" s="7" t="n">
        <v>45162</v>
      </c>
      <c r="M380" s="6" t="inlineStr">
        <is>
          <t>Missing Features</t>
        </is>
      </c>
      <c r="N380" s="6" t="n">
        <v>13</v>
      </c>
      <c r="O380" s="6" t="n">
        <v>6</v>
      </c>
      <c r="P380" s="6" t="n">
        <v>10</v>
      </c>
      <c r="Q380" s="6" t="inlineStr">
        <is>
          <t>No</t>
        </is>
      </c>
      <c r="R380" s="6">
        <f>IF(K380="Yes",1,0)</f>
        <v/>
      </c>
      <c r="S380" s="6">
        <f>IF(K380="No",1,0)</f>
        <v/>
      </c>
      <c r="T380" s="6">
        <f>ROUND((IF(L380="",'Subscriptions'!$T$2,L380)-J380)/30.44,1)</f>
        <v/>
      </c>
      <c r="U380" s="6">
        <f>IF(AND(P380&lt;'Subscriptions'!$T$4,O380&lt;='Subscriptions'!$T$5),1,0)</f>
        <v/>
      </c>
    </row>
    <row r="381">
      <c r="A381" s="6" t="inlineStr">
        <is>
          <t>CUST-0380</t>
        </is>
      </c>
      <c r="B381" s="6" t="inlineStr">
        <is>
          <t>Business</t>
        </is>
      </c>
      <c r="C381" s="6" t="inlineStr">
        <is>
          <t>Annual</t>
        </is>
      </c>
      <c r="D381" s="6" t="inlineStr">
        <is>
          <t>Manufacturing</t>
        </is>
      </c>
      <c r="E381" s="6" t="inlineStr">
        <is>
          <t>201-500</t>
        </is>
      </c>
      <c r="F381" s="6" t="n">
        <v>150</v>
      </c>
      <c r="G381" s="6" t="n">
        <v>3949.65</v>
      </c>
      <c r="H381" s="6" t="inlineStr">
        <is>
          <t>Organic Search</t>
        </is>
      </c>
      <c r="I381" s="6" t="inlineStr">
        <is>
          <t>North America</t>
        </is>
      </c>
      <c r="J381" s="7" t="n">
        <v>45389</v>
      </c>
      <c r="K381" s="6" t="inlineStr">
        <is>
          <t>No</t>
        </is>
      </c>
      <c r="L381" s="7" t="n"/>
      <c r="M381" s="6" t="n"/>
      <c r="N381" s="6" t="n">
        <v>7</v>
      </c>
      <c r="O381" s="6" t="n">
        <v>9</v>
      </c>
      <c r="P381" s="6" t="n">
        <v>67</v>
      </c>
      <c r="Q381" s="6" t="inlineStr">
        <is>
          <t>No</t>
        </is>
      </c>
      <c r="R381" s="6">
        <f>IF(K381="Yes",1,0)</f>
        <v/>
      </c>
      <c r="S381" s="6">
        <f>IF(K381="No",1,0)</f>
        <v/>
      </c>
      <c r="T381" s="6">
        <f>ROUND((IF(L381="",'Subscriptions'!$T$2,L381)-J381)/30.44,1)</f>
        <v/>
      </c>
      <c r="U381" s="6">
        <f>IF(AND(P381&lt;'Subscriptions'!$T$4,O381&lt;='Subscriptions'!$T$5),1,0)</f>
        <v/>
      </c>
    </row>
    <row r="382">
      <c r="A382" s="6" t="inlineStr">
        <is>
          <t>CUST-0381</t>
        </is>
      </c>
      <c r="B382" s="6" t="inlineStr">
        <is>
          <t>Starter</t>
        </is>
      </c>
      <c r="C382" s="6" t="inlineStr">
        <is>
          <t>Annual</t>
        </is>
      </c>
      <c r="D382" s="6" t="inlineStr">
        <is>
          <t>Real Estate</t>
        </is>
      </c>
      <c r="E382" s="6" t="inlineStr">
        <is>
          <t>201-500</t>
        </is>
      </c>
      <c r="F382" s="6" t="n">
        <v>126</v>
      </c>
      <c r="G382" s="6" t="n">
        <v>486.84</v>
      </c>
      <c r="H382" s="6" t="inlineStr">
        <is>
          <t>Direct Sales</t>
        </is>
      </c>
      <c r="I382" s="6" t="inlineStr">
        <is>
          <t>Asia Pacific</t>
        </is>
      </c>
      <c r="J382" s="7" t="n">
        <v>44799</v>
      </c>
      <c r="K382" s="6" t="inlineStr">
        <is>
          <t>No</t>
        </is>
      </c>
      <c r="L382" s="7" t="n"/>
      <c r="M382" s="6" t="n"/>
      <c r="N382" s="6" t="n">
        <v>11</v>
      </c>
      <c r="O382" s="6" t="n">
        <v>5</v>
      </c>
      <c r="P382" s="6" t="n">
        <v>74</v>
      </c>
      <c r="Q382" s="6" t="inlineStr">
        <is>
          <t>No</t>
        </is>
      </c>
      <c r="R382" s="6">
        <f>IF(K382="Yes",1,0)</f>
        <v/>
      </c>
      <c r="S382" s="6">
        <f>IF(K382="No",1,0)</f>
        <v/>
      </c>
      <c r="T382" s="6">
        <f>ROUND((IF(L382="",'Subscriptions'!$T$2,L382)-J382)/30.44,1)</f>
        <v/>
      </c>
      <c r="U382" s="6">
        <f>IF(AND(P382&lt;'Subscriptions'!$T$4,O382&lt;='Subscriptions'!$T$5),1,0)</f>
        <v/>
      </c>
    </row>
    <row r="383">
      <c r="A383" s="6" t="inlineStr">
        <is>
          <t>CUST-0382</t>
        </is>
      </c>
      <c r="B383" s="6" t="inlineStr">
        <is>
          <t>Starter</t>
        </is>
      </c>
      <c r="C383" s="6" t="inlineStr">
        <is>
          <t>Monthly</t>
        </is>
      </c>
      <c r="D383" s="6" t="inlineStr">
        <is>
          <t>Retail</t>
        </is>
      </c>
      <c r="E383" s="6" t="inlineStr">
        <is>
          <t>11-50</t>
        </is>
      </c>
      <c r="F383" s="6" t="n">
        <v>24</v>
      </c>
      <c r="G383" s="6" t="n">
        <v>129.05</v>
      </c>
      <c r="H383" s="6" t="inlineStr">
        <is>
          <t>Organic Search</t>
        </is>
      </c>
      <c r="I383" s="6" t="inlineStr">
        <is>
          <t>North America</t>
        </is>
      </c>
      <c r="J383" s="7" t="n">
        <v>44940</v>
      </c>
      <c r="K383" s="6" t="inlineStr">
        <is>
          <t>Yes</t>
        </is>
      </c>
      <c r="L383" s="7" t="n">
        <v>45922</v>
      </c>
      <c r="M383" s="6" t="inlineStr">
        <is>
          <t>Price Too High</t>
        </is>
      </c>
      <c r="N383" s="6" t="n">
        <v>11</v>
      </c>
      <c r="O383" s="6" t="n">
        <v>1</v>
      </c>
      <c r="P383" s="6" t="n">
        <v>16</v>
      </c>
      <c r="Q383" s="6" t="inlineStr">
        <is>
          <t>No</t>
        </is>
      </c>
      <c r="R383" s="6">
        <f>IF(K383="Yes",1,0)</f>
        <v/>
      </c>
      <c r="S383" s="6">
        <f>IF(K383="No",1,0)</f>
        <v/>
      </c>
      <c r="T383" s="6">
        <f>ROUND((IF(L383="",'Subscriptions'!$T$2,L383)-J383)/30.44,1)</f>
        <v/>
      </c>
      <c r="U383" s="6">
        <f>IF(AND(P383&lt;'Subscriptions'!$T$4,O383&lt;='Subscriptions'!$T$5),1,0)</f>
        <v/>
      </c>
    </row>
    <row r="384">
      <c r="A384" s="6" t="inlineStr">
        <is>
          <t>CUST-0383</t>
        </is>
      </c>
      <c r="B384" s="6" t="inlineStr">
        <is>
          <t>Professional</t>
        </is>
      </c>
      <c r="C384" s="6" t="inlineStr">
        <is>
          <t>Annual</t>
        </is>
      </c>
      <c r="D384" s="6" t="inlineStr">
        <is>
          <t>Technology</t>
        </is>
      </c>
      <c r="E384" s="6" t="inlineStr">
        <is>
          <t>1-10</t>
        </is>
      </c>
      <c r="F384" s="6" t="n">
        <v>4</v>
      </c>
      <c r="G384" s="6" t="n">
        <v>97.37</v>
      </c>
      <c r="H384" s="6" t="inlineStr">
        <is>
          <t>Referral</t>
        </is>
      </c>
      <c r="I384" s="6" t="inlineStr">
        <is>
          <t>North America</t>
        </is>
      </c>
      <c r="J384" s="7" t="n">
        <v>45715</v>
      </c>
      <c r="K384" s="6" t="inlineStr">
        <is>
          <t>Yes</t>
        </is>
      </c>
      <c r="L384" s="7" t="n">
        <v>45970</v>
      </c>
      <c r="M384" s="6" t="inlineStr">
        <is>
          <t>Switched Competitor</t>
        </is>
      </c>
      <c r="N384" s="6" t="n">
        <v>0</v>
      </c>
      <c r="O384" s="6" t="n">
        <v>4</v>
      </c>
      <c r="P384" s="6" t="n">
        <v>29</v>
      </c>
      <c r="Q384" s="6" t="inlineStr">
        <is>
          <t>No</t>
        </is>
      </c>
      <c r="R384" s="6">
        <f>IF(K384="Yes",1,0)</f>
        <v/>
      </c>
      <c r="S384" s="6">
        <f>IF(K384="No",1,0)</f>
        <v/>
      </c>
      <c r="T384" s="6">
        <f>ROUND((IF(L384="",'Subscriptions'!$T$2,L384)-J384)/30.44,1)</f>
        <v/>
      </c>
      <c r="U384" s="6">
        <f>IF(AND(P384&lt;'Subscriptions'!$T$4,O384&lt;='Subscriptions'!$T$5),1,0)</f>
        <v/>
      </c>
    </row>
    <row r="385">
      <c r="A385" s="6" t="inlineStr">
        <is>
          <t>CUST-0384</t>
        </is>
      </c>
      <c r="B385" s="6" t="inlineStr">
        <is>
          <t>Enterprise</t>
        </is>
      </c>
      <c r="C385" s="6" t="inlineStr">
        <is>
          <t>Monthly</t>
        </is>
      </c>
      <c r="D385" s="6" t="inlineStr">
        <is>
          <t>Consulting</t>
        </is>
      </c>
      <c r="E385" s="6" t="inlineStr">
        <is>
          <t>201-500</t>
        </is>
      </c>
      <c r="F385" s="6" t="n">
        <v>141</v>
      </c>
      <c r="G385" s="6" t="n">
        <v>10978</v>
      </c>
      <c r="H385" s="6" t="inlineStr">
        <is>
          <t>Paid Ads</t>
        </is>
      </c>
      <c r="I385" s="6" t="inlineStr">
        <is>
          <t>Europe</t>
        </is>
      </c>
      <c r="J385" s="7" t="n">
        <v>44828</v>
      </c>
      <c r="K385" s="6" t="inlineStr">
        <is>
          <t>No</t>
        </is>
      </c>
      <c r="L385" s="7" t="n"/>
      <c r="M385" s="6" t="n"/>
      <c r="N385" s="6" t="n">
        <v>6</v>
      </c>
      <c r="O385" s="6" t="n">
        <v>2</v>
      </c>
      <c r="P385" s="6" t="n">
        <v>49</v>
      </c>
      <c r="Q385" s="6" t="inlineStr">
        <is>
          <t>No</t>
        </is>
      </c>
      <c r="R385" s="6">
        <f>IF(K385="Yes",1,0)</f>
        <v/>
      </c>
      <c r="S385" s="6">
        <f>IF(K385="No",1,0)</f>
        <v/>
      </c>
      <c r="T385" s="6">
        <f>ROUND((IF(L385="",'Subscriptions'!$T$2,L385)-J385)/30.44,1)</f>
        <v/>
      </c>
      <c r="U385" s="6">
        <f>IF(AND(P385&lt;'Subscriptions'!$T$4,O385&lt;='Subscriptions'!$T$5),1,0)</f>
        <v/>
      </c>
    </row>
    <row r="386">
      <c r="A386" s="6" t="inlineStr">
        <is>
          <t>CUST-0385</t>
        </is>
      </c>
      <c r="B386" s="6" t="inlineStr">
        <is>
          <t>Starter</t>
        </is>
      </c>
      <c r="C386" s="6" t="inlineStr">
        <is>
          <t>Annual</t>
        </is>
      </c>
      <c r="D386" s="6" t="inlineStr">
        <is>
          <t>Retail</t>
        </is>
      </c>
      <c r="E386" s="6" t="inlineStr">
        <is>
          <t>201-500</t>
        </is>
      </c>
      <c r="F386" s="6" t="n">
        <v>142</v>
      </c>
      <c r="G386" s="6" t="n">
        <v>546</v>
      </c>
      <c r="H386" s="6" t="inlineStr">
        <is>
          <t>Paid Ads</t>
        </is>
      </c>
      <c r="I386" s="6" t="inlineStr">
        <is>
          <t>North America</t>
        </is>
      </c>
      <c r="J386" s="7" t="n">
        <v>45171</v>
      </c>
      <c r="K386" s="6" t="inlineStr">
        <is>
          <t>Yes</t>
        </is>
      </c>
      <c r="L386" s="7" t="n">
        <v>45199</v>
      </c>
      <c r="M386" s="6" t="inlineStr">
        <is>
          <t>No Longer Needed</t>
        </is>
      </c>
      <c r="N386" s="6" t="n">
        <v>13</v>
      </c>
      <c r="O386" s="6" t="n">
        <v>2</v>
      </c>
      <c r="P386" s="6" t="n">
        <v>31</v>
      </c>
      <c r="Q386" s="6" t="inlineStr">
        <is>
          <t>No</t>
        </is>
      </c>
      <c r="R386" s="6">
        <f>IF(K386="Yes",1,0)</f>
        <v/>
      </c>
      <c r="S386" s="6">
        <f>IF(K386="No",1,0)</f>
        <v/>
      </c>
      <c r="T386" s="6">
        <f>ROUND((IF(L386="",'Subscriptions'!$T$2,L386)-J386)/30.44,1)</f>
        <v/>
      </c>
      <c r="U386" s="6">
        <f>IF(AND(P386&lt;'Subscriptions'!$T$4,O386&lt;='Subscriptions'!$T$5),1,0)</f>
        <v/>
      </c>
    </row>
    <row r="387">
      <c r="A387" s="6" t="inlineStr">
        <is>
          <t>CUST-0386</t>
        </is>
      </c>
      <c r="B387" s="6" t="inlineStr">
        <is>
          <t>Professional</t>
        </is>
      </c>
      <c r="C387" s="6" t="inlineStr">
        <is>
          <t>Monthly</t>
        </is>
      </c>
      <c r="D387" s="6" t="inlineStr">
        <is>
          <t>Real Estate</t>
        </is>
      </c>
      <c r="E387" s="6" t="inlineStr">
        <is>
          <t>1-10</t>
        </is>
      </c>
      <c r="F387" s="6" t="n">
        <v>4</v>
      </c>
      <c r="G387" s="6" t="n">
        <v>114.55</v>
      </c>
      <c r="H387" s="6" t="inlineStr">
        <is>
          <t>Referral</t>
        </is>
      </c>
      <c r="I387" s="6" t="inlineStr">
        <is>
          <t>Latin America</t>
        </is>
      </c>
      <c r="J387" s="7" t="n">
        <v>45889</v>
      </c>
      <c r="K387" s="6" t="inlineStr">
        <is>
          <t>Yes</t>
        </is>
      </c>
      <c r="L387" s="7" t="n">
        <v>46004</v>
      </c>
      <c r="M387" s="6" t="inlineStr">
        <is>
          <t>Budget Cuts</t>
        </is>
      </c>
      <c r="N387" s="6" t="n">
        <v>7</v>
      </c>
      <c r="O387" s="6" t="n">
        <v>1</v>
      </c>
      <c r="P387" s="6" t="n">
        <v>24</v>
      </c>
      <c r="Q387" s="6" t="inlineStr">
        <is>
          <t>No</t>
        </is>
      </c>
      <c r="R387" s="6">
        <f>IF(K387="Yes",1,0)</f>
        <v/>
      </c>
      <c r="S387" s="6">
        <f>IF(K387="No",1,0)</f>
        <v/>
      </c>
      <c r="T387" s="6">
        <f>ROUND((IF(L387="",'Subscriptions'!$T$2,L387)-J387)/30.44,1)</f>
        <v/>
      </c>
      <c r="U387" s="6">
        <f>IF(AND(P387&lt;'Subscriptions'!$T$4,O387&lt;='Subscriptions'!$T$5),1,0)</f>
        <v/>
      </c>
    </row>
    <row r="388">
      <c r="A388" s="6" t="inlineStr">
        <is>
          <t>CUST-0387</t>
        </is>
      </c>
      <c r="B388" s="6" t="inlineStr">
        <is>
          <t>Starter</t>
        </is>
      </c>
      <c r="C388" s="6" t="inlineStr">
        <is>
          <t>Monthly</t>
        </is>
      </c>
      <c r="D388" s="6" t="inlineStr">
        <is>
          <t>Legal</t>
        </is>
      </c>
      <c r="E388" s="6" t="inlineStr">
        <is>
          <t>1-10</t>
        </is>
      </c>
      <c r="F388" s="6" t="n">
        <v>3</v>
      </c>
      <c r="G388" s="6" t="n">
        <v>37.7</v>
      </c>
      <c r="H388" s="6" t="inlineStr">
        <is>
          <t>Referral</t>
        </is>
      </c>
      <c r="I388" s="6" t="inlineStr">
        <is>
          <t>North America</t>
        </is>
      </c>
      <c r="J388" s="7" t="n">
        <v>45137</v>
      </c>
      <c r="K388" s="6" t="inlineStr">
        <is>
          <t>Yes</t>
        </is>
      </c>
      <c r="L388" s="7" t="n">
        <v>45270</v>
      </c>
      <c r="M388" s="6" t="inlineStr">
        <is>
          <t>Price Too High</t>
        </is>
      </c>
      <c r="N388" s="6" t="n">
        <v>11</v>
      </c>
      <c r="O388" s="6" t="n">
        <v>1</v>
      </c>
      <c r="P388" s="6" t="n">
        <v>46</v>
      </c>
      <c r="Q388" s="6" t="inlineStr">
        <is>
          <t>No</t>
        </is>
      </c>
      <c r="R388" s="6">
        <f>IF(K388="Yes",1,0)</f>
        <v/>
      </c>
      <c r="S388" s="6">
        <f>IF(K388="No",1,0)</f>
        <v/>
      </c>
      <c r="T388" s="6">
        <f>ROUND((IF(L388="",'Subscriptions'!$T$2,L388)-J388)/30.44,1)</f>
        <v/>
      </c>
      <c r="U388" s="6">
        <f>IF(AND(P388&lt;'Subscriptions'!$T$4,O388&lt;='Subscriptions'!$T$5),1,0)</f>
        <v/>
      </c>
    </row>
    <row r="389">
      <c r="A389" s="6" t="inlineStr">
        <is>
          <t>CUST-0388</t>
        </is>
      </c>
      <c r="B389" s="6" t="inlineStr">
        <is>
          <t>Professional</t>
        </is>
      </c>
      <c r="C389" s="6" t="inlineStr">
        <is>
          <t>Annual</t>
        </is>
      </c>
      <c r="D389" s="6" t="inlineStr">
        <is>
          <t>Consulting</t>
        </is>
      </c>
      <c r="E389" s="6" t="inlineStr">
        <is>
          <t>11-50</t>
        </is>
      </c>
      <c r="F389" s="6" t="n">
        <v>31</v>
      </c>
      <c r="G389" s="6" t="n">
        <v>369.33</v>
      </c>
      <c r="H389" s="6" t="inlineStr">
        <is>
          <t>Partner</t>
        </is>
      </c>
      <c r="I389" s="6" t="inlineStr">
        <is>
          <t>Asia Pacific</t>
        </is>
      </c>
      <c r="J389" s="7" t="n">
        <v>45071</v>
      </c>
      <c r="K389" s="6" t="inlineStr">
        <is>
          <t>No</t>
        </is>
      </c>
      <c r="L389" s="7" t="n"/>
      <c r="M389" s="6" t="n"/>
      <c r="N389" s="6" t="n">
        <v>11</v>
      </c>
      <c r="O389" s="6" t="n">
        <v>4</v>
      </c>
      <c r="P389" s="6" t="n">
        <v>66</v>
      </c>
      <c r="Q389" s="6" t="inlineStr">
        <is>
          <t>No</t>
        </is>
      </c>
      <c r="R389" s="6">
        <f>IF(K389="Yes",1,0)</f>
        <v/>
      </c>
      <c r="S389" s="6">
        <f>IF(K389="No",1,0)</f>
        <v/>
      </c>
      <c r="T389" s="6">
        <f>ROUND((IF(L389="",'Subscriptions'!$T$2,L389)-J389)/30.44,1)</f>
        <v/>
      </c>
      <c r="U389" s="6">
        <f>IF(AND(P389&lt;'Subscriptions'!$T$4,O389&lt;='Subscriptions'!$T$5),1,0)</f>
        <v/>
      </c>
    </row>
    <row r="390">
      <c r="A390" s="6" t="inlineStr">
        <is>
          <t>CUST-0389</t>
        </is>
      </c>
      <c r="B390" s="6" t="inlineStr">
        <is>
          <t>Professional</t>
        </is>
      </c>
      <c r="C390" s="6" t="inlineStr">
        <is>
          <t>Annual</t>
        </is>
      </c>
      <c r="D390" s="6" t="inlineStr">
        <is>
          <t>Media</t>
        </is>
      </c>
      <c r="E390" s="6" t="inlineStr">
        <is>
          <t>201-500</t>
        </is>
      </c>
      <c r="F390" s="6" t="n">
        <v>94</v>
      </c>
      <c r="G390" s="6" t="n">
        <v>1003.89</v>
      </c>
      <c r="H390" s="6" t="inlineStr">
        <is>
          <t>Referral</t>
        </is>
      </c>
      <c r="I390" s="6" t="inlineStr">
        <is>
          <t>Latin America</t>
        </is>
      </c>
      <c r="J390" s="7" t="n">
        <v>45470</v>
      </c>
      <c r="K390" s="6" t="inlineStr">
        <is>
          <t>No</t>
        </is>
      </c>
      <c r="L390" s="7" t="n"/>
      <c r="M390" s="6" t="n"/>
      <c r="N390" s="6" t="n">
        <v>7</v>
      </c>
      <c r="O390" s="6" t="n">
        <v>7</v>
      </c>
      <c r="P390" s="6" t="n">
        <v>62</v>
      </c>
      <c r="Q390" s="6" t="inlineStr">
        <is>
          <t>No</t>
        </is>
      </c>
      <c r="R390" s="6">
        <f>IF(K390="Yes",1,0)</f>
        <v/>
      </c>
      <c r="S390" s="6">
        <f>IF(K390="No",1,0)</f>
        <v/>
      </c>
      <c r="T390" s="6">
        <f>ROUND((IF(L390="",'Subscriptions'!$T$2,L390)-J390)/30.44,1)</f>
        <v/>
      </c>
      <c r="U390" s="6">
        <f>IF(AND(P390&lt;'Subscriptions'!$T$4,O390&lt;='Subscriptions'!$T$5),1,0)</f>
        <v/>
      </c>
    </row>
    <row r="391">
      <c r="A391" s="6" t="inlineStr">
        <is>
          <t>CUST-0390</t>
        </is>
      </c>
      <c r="B391" s="6" t="inlineStr">
        <is>
          <t>Professional</t>
        </is>
      </c>
      <c r="C391" s="6" t="inlineStr">
        <is>
          <t>Monthly</t>
        </is>
      </c>
      <c r="D391" s="6" t="inlineStr">
        <is>
          <t>Manufacturing</t>
        </is>
      </c>
      <c r="E391" s="6" t="inlineStr">
        <is>
          <t>201-500</t>
        </is>
      </c>
      <c r="F391" s="6" t="n">
        <v>38</v>
      </c>
      <c r="G391" s="6" t="n">
        <v>517.45</v>
      </c>
      <c r="H391" s="6" t="inlineStr">
        <is>
          <t>Paid Ads</t>
        </is>
      </c>
      <c r="I391" s="6" t="inlineStr">
        <is>
          <t>North America</t>
        </is>
      </c>
      <c r="J391" s="7" t="n">
        <v>45059</v>
      </c>
      <c r="K391" s="6" t="inlineStr">
        <is>
          <t>Yes</t>
        </is>
      </c>
      <c r="L391" s="7" t="n">
        <v>45500</v>
      </c>
      <c r="M391" s="6" t="inlineStr">
        <is>
          <t>Poor Support</t>
        </is>
      </c>
      <c r="N391" s="6" t="n">
        <v>4</v>
      </c>
      <c r="O391" s="6" t="n">
        <v>4</v>
      </c>
      <c r="P391" s="6" t="n">
        <v>44</v>
      </c>
      <c r="Q391" s="6" t="inlineStr">
        <is>
          <t>No</t>
        </is>
      </c>
      <c r="R391" s="6">
        <f>IF(K391="Yes",1,0)</f>
        <v/>
      </c>
      <c r="S391" s="6">
        <f>IF(K391="No",1,0)</f>
        <v/>
      </c>
      <c r="T391" s="6">
        <f>ROUND((IF(L391="",'Subscriptions'!$T$2,L391)-J391)/30.44,1)</f>
        <v/>
      </c>
      <c r="U391" s="6">
        <f>IF(AND(P391&lt;'Subscriptions'!$T$4,O391&lt;='Subscriptions'!$T$5),1,0)</f>
        <v/>
      </c>
    </row>
    <row r="392">
      <c r="A392" s="6" t="inlineStr">
        <is>
          <t>CUST-0391</t>
        </is>
      </c>
      <c r="B392" s="6" t="inlineStr">
        <is>
          <t>Starter</t>
        </is>
      </c>
      <c r="C392" s="6" t="inlineStr">
        <is>
          <t>Annual</t>
        </is>
      </c>
      <c r="D392" s="6" t="inlineStr">
        <is>
          <t>Manufacturing</t>
        </is>
      </c>
      <c r="E392" s="6" t="inlineStr">
        <is>
          <t>1-10</t>
        </is>
      </c>
      <c r="F392" s="6" t="n">
        <v>8</v>
      </c>
      <c r="G392" s="6" t="n">
        <v>50.53</v>
      </c>
      <c r="H392" s="6" t="inlineStr">
        <is>
          <t>Paid Ads</t>
        </is>
      </c>
      <c r="I392" s="6" t="inlineStr">
        <is>
          <t>Europe</t>
        </is>
      </c>
      <c r="J392" s="7" t="n">
        <v>44865</v>
      </c>
      <c r="K392" s="6" t="inlineStr">
        <is>
          <t>Yes</t>
        </is>
      </c>
      <c r="L392" s="7" t="n">
        <v>45453</v>
      </c>
      <c r="M392" s="6" t="inlineStr">
        <is>
          <t>No Longer Needed</t>
        </is>
      </c>
      <c r="N392" s="6" t="n">
        <v>2</v>
      </c>
      <c r="O392" s="6" t="n">
        <v>6</v>
      </c>
      <c r="P392" s="6" t="n">
        <v>17</v>
      </c>
      <c r="Q392" s="6" t="inlineStr">
        <is>
          <t>No</t>
        </is>
      </c>
      <c r="R392" s="6">
        <f>IF(K392="Yes",1,0)</f>
        <v/>
      </c>
      <c r="S392" s="6">
        <f>IF(K392="No",1,0)</f>
        <v/>
      </c>
      <c r="T392" s="6">
        <f>ROUND((IF(L392="",'Subscriptions'!$T$2,L392)-J392)/30.44,1)</f>
        <v/>
      </c>
      <c r="U392" s="6">
        <f>IF(AND(P392&lt;'Subscriptions'!$T$4,O392&lt;='Subscriptions'!$T$5),1,0)</f>
        <v/>
      </c>
    </row>
    <row r="393">
      <c r="A393" s="6" t="inlineStr">
        <is>
          <t>CUST-0392</t>
        </is>
      </c>
      <c r="B393" s="6" t="inlineStr">
        <is>
          <t>Starter</t>
        </is>
      </c>
      <c r="C393" s="6" t="inlineStr">
        <is>
          <t>Monthly</t>
        </is>
      </c>
      <c r="D393" s="6" t="inlineStr">
        <is>
          <t>Media</t>
        </is>
      </c>
      <c r="E393" s="6" t="inlineStr">
        <is>
          <t>11-50</t>
        </is>
      </c>
      <c r="F393" s="6" t="n">
        <v>19</v>
      </c>
      <c r="G393" s="6" t="n">
        <v>107.3</v>
      </c>
      <c r="H393" s="6" t="inlineStr">
        <is>
          <t>Paid Ads</t>
        </is>
      </c>
      <c r="I393" s="6" t="inlineStr">
        <is>
          <t>North America</t>
        </is>
      </c>
      <c r="J393" s="7" t="n">
        <v>45361</v>
      </c>
      <c r="K393" s="6" t="inlineStr">
        <is>
          <t>Yes</t>
        </is>
      </c>
      <c r="L393" s="7" t="n">
        <v>45418</v>
      </c>
      <c r="M393" s="6" t="inlineStr">
        <is>
          <t>Missing Features</t>
        </is>
      </c>
      <c r="N393" s="6" t="n">
        <v>9</v>
      </c>
      <c r="O393" s="6" t="n">
        <v>5</v>
      </c>
      <c r="P393" s="6" t="n">
        <v>18</v>
      </c>
      <c r="Q393" s="6" t="inlineStr">
        <is>
          <t>No</t>
        </is>
      </c>
      <c r="R393" s="6">
        <f>IF(K393="Yes",1,0)</f>
        <v/>
      </c>
      <c r="S393" s="6">
        <f>IF(K393="No",1,0)</f>
        <v/>
      </c>
      <c r="T393" s="6">
        <f>ROUND((IF(L393="",'Subscriptions'!$T$2,L393)-J393)/30.44,1)</f>
        <v/>
      </c>
      <c r="U393" s="6">
        <f>IF(AND(P393&lt;'Subscriptions'!$T$4,O393&lt;='Subscriptions'!$T$5),1,0)</f>
        <v/>
      </c>
    </row>
    <row r="394">
      <c r="A394" s="6" t="inlineStr">
        <is>
          <t>CUST-0393</t>
        </is>
      </c>
      <c r="B394" s="6" t="inlineStr">
        <is>
          <t>Professional</t>
        </is>
      </c>
      <c r="C394" s="6" t="inlineStr">
        <is>
          <t>Monthly</t>
        </is>
      </c>
      <c r="D394" s="6" t="inlineStr">
        <is>
          <t>Media</t>
        </is>
      </c>
      <c r="E394" s="6" t="inlineStr">
        <is>
          <t>51-200</t>
        </is>
      </c>
      <c r="F394" s="6" t="n">
        <v>39</v>
      </c>
      <c r="G394" s="6" t="n">
        <v>529.3</v>
      </c>
      <c r="H394" s="6" t="inlineStr">
        <is>
          <t>Direct Sales</t>
        </is>
      </c>
      <c r="I394" s="6" t="inlineStr">
        <is>
          <t>North America</t>
        </is>
      </c>
      <c r="J394" s="7" t="n">
        <v>45701</v>
      </c>
      <c r="K394" s="6" t="inlineStr">
        <is>
          <t>No</t>
        </is>
      </c>
      <c r="L394" s="7" t="n"/>
      <c r="M394" s="6" t="n"/>
      <c r="N394" s="6" t="n">
        <v>1</v>
      </c>
      <c r="O394" s="6" t="n">
        <v>10</v>
      </c>
      <c r="P394" s="6" t="n">
        <v>49</v>
      </c>
      <c r="Q394" s="6" t="inlineStr">
        <is>
          <t>No</t>
        </is>
      </c>
      <c r="R394" s="6">
        <f>IF(K394="Yes",1,0)</f>
        <v/>
      </c>
      <c r="S394" s="6">
        <f>IF(K394="No",1,0)</f>
        <v/>
      </c>
      <c r="T394" s="6">
        <f>ROUND((IF(L394="",'Subscriptions'!$T$2,L394)-J394)/30.44,1)</f>
        <v/>
      </c>
      <c r="U394" s="6">
        <f>IF(AND(P394&lt;'Subscriptions'!$T$4,O394&lt;='Subscriptions'!$T$5),1,0)</f>
        <v/>
      </c>
    </row>
    <row r="395">
      <c r="A395" s="6" t="inlineStr">
        <is>
          <t>CUST-0394</t>
        </is>
      </c>
      <c r="B395" s="6" t="inlineStr">
        <is>
          <t>Professional</t>
        </is>
      </c>
      <c r="C395" s="6" t="inlineStr">
        <is>
          <t>Annual</t>
        </is>
      </c>
      <c r="D395" s="6" t="inlineStr">
        <is>
          <t>Real Estate</t>
        </is>
      </c>
      <c r="E395" s="6" t="inlineStr">
        <is>
          <t>11-50</t>
        </is>
      </c>
      <c r="F395" s="6" t="n">
        <v>19</v>
      </c>
      <c r="G395" s="6" t="n">
        <v>248.46</v>
      </c>
      <c r="H395" s="6" t="inlineStr">
        <is>
          <t>Organic Search</t>
        </is>
      </c>
      <c r="I395" s="6" t="inlineStr">
        <is>
          <t>North America</t>
        </is>
      </c>
      <c r="J395" s="7" t="n">
        <v>45379</v>
      </c>
      <c r="K395" s="6" t="inlineStr">
        <is>
          <t>No</t>
        </is>
      </c>
      <c r="L395" s="7" t="n"/>
      <c r="M395" s="6" t="n"/>
      <c r="N395" s="6" t="n">
        <v>5</v>
      </c>
      <c r="O395" s="6" t="n">
        <v>6</v>
      </c>
      <c r="P395" s="6" t="n">
        <v>23</v>
      </c>
      <c r="Q395" s="6" t="inlineStr">
        <is>
          <t>No</t>
        </is>
      </c>
      <c r="R395" s="6">
        <f>IF(K395="Yes",1,0)</f>
        <v/>
      </c>
      <c r="S395" s="6">
        <f>IF(K395="No",1,0)</f>
        <v/>
      </c>
      <c r="T395" s="6">
        <f>ROUND((IF(L395="",'Subscriptions'!$T$2,L395)-J395)/30.44,1)</f>
        <v/>
      </c>
      <c r="U395" s="6">
        <f>IF(AND(P395&lt;'Subscriptions'!$T$4,O395&lt;='Subscriptions'!$T$5),1,0)</f>
        <v/>
      </c>
    </row>
    <row r="396">
      <c r="A396" s="6" t="inlineStr">
        <is>
          <t>CUST-0395</t>
        </is>
      </c>
      <c r="B396" s="6" t="inlineStr">
        <is>
          <t>Business</t>
        </is>
      </c>
      <c r="C396" s="6" t="inlineStr">
        <is>
          <t>Monthly</t>
        </is>
      </c>
      <c r="D396" s="6" t="inlineStr">
        <is>
          <t>Finance</t>
        </is>
      </c>
      <c r="E396" s="6" t="inlineStr">
        <is>
          <t>1-10</t>
        </is>
      </c>
      <c r="F396" s="6" t="n">
        <v>4</v>
      </c>
      <c r="G396" s="6" t="n">
        <v>288.55</v>
      </c>
      <c r="H396" s="6" t="inlineStr">
        <is>
          <t>Organic Search</t>
        </is>
      </c>
      <c r="I396" s="6" t="inlineStr">
        <is>
          <t>Europe</t>
        </is>
      </c>
      <c r="J396" s="7" t="n">
        <v>45363</v>
      </c>
      <c r="K396" s="6" t="inlineStr">
        <is>
          <t>No</t>
        </is>
      </c>
      <c r="L396" s="7" t="n"/>
      <c r="M396" s="6" t="n"/>
      <c r="N396" s="6" t="n">
        <v>0</v>
      </c>
      <c r="O396" s="6" t="n">
        <v>4</v>
      </c>
      <c r="P396" s="6" t="n">
        <v>39</v>
      </c>
      <c r="Q396" s="6" t="inlineStr">
        <is>
          <t>No</t>
        </is>
      </c>
      <c r="R396" s="6">
        <f>IF(K396="Yes",1,0)</f>
        <v/>
      </c>
      <c r="S396" s="6">
        <f>IF(K396="No",1,0)</f>
        <v/>
      </c>
      <c r="T396" s="6">
        <f>ROUND((IF(L396="",'Subscriptions'!$T$2,L396)-J396)/30.44,1)</f>
        <v/>
      </c>
      <c r="U396" s="6">
        <f>IF(AND(P396&lt;'Subscriptions'!$T$4,O396&lt;='Subscriptions'!$T$5),1,0)</f>
        <v/>
      </c>
    </row>
    <row r="397">
      <c r="A397" s="6" t="inlineStr">
        <is>
          <t>CUST-0396</t>
        </is>
      </c>
      <c r="B397" s="6" t="inlineStr">
        <is>
          <t>Professional</t>
        </is>
      </c>
      <c r="C397" s="6" t="inlineStr">
        <is>
          <t>Monthly</t>
        </is>
      </c>
      <c r="D397" s="6" t="inlineStr">
        <is>
          <t>Education</t>
        </is>
      </c>
      <c r="E397" s="6" t="inlineStr">
        <is>
          <t>1-10</t>
        </is>
      </c>
      <c r="F397" s="6" t="n">
        <v>7</v>
      </c>
      <c r="G397" s="6" t="n">
        <v>150.1</v>
      </c>
      <c r="H397" s="6" t="inlineStr">
        <is>
          <t>Referral</t>
        </is>
      </c>
      <c r="I397" s="6" t="inlineStr">
        <is>
          <t>Europe</t>
        </is>
      </c>
      <c r="J397" s="7" t="n">
        <v>45217</v>
      </c>
      <c r="K397" s="6" t="inlineStr">
        <is>
          <t>No</t>
        </is>
      </c>
      <c r="L397" s="7" t="n"/>
      <c r="M397" s="6" t="n"/>
      <c r="N397" s="6" t="n">
        <v>3</v>
      </c>
      <c r="O397" s="6" t="n">
        <v>7</v>
      </c>
      <c r="P397" s="6" t="n">
        <v>73</v>
      </c>
      <c r="Q397" s="6" t="inlineStr">
        <is>
          <t>No</t>
        </is>
      </c>
      <c r="R397" s="6">
        <f>IF(K397="Yes",1,0)</f>
        <v/>
      </c>
      <c r="S397" s="6">
        <f>IF(K397="No",1,0)</f>
        <v/>
      </c>
      <c r="T397" s="6">
        <f>ROUND((IF(L397="",'Subscriptions'!$T$2,L397)-J397)/30.44,1)</f>
        <v/>
      </c>
      <c r="U397" s="6">
        <f>IF(AND(P397&lt;'Subscriptions'!$T$4,O397&lt;='Subscriptions'!$T$5),1,0)</f>
        <v/>
      </c>
    </row>
    <row r="398">
      <c r="A398" s="6" t="inlineStr">
        <is>
          <t>CUST-0397</t>
        </is>
      </c>
      <c r="B398" s="6" t="inlineStr">
        <is>
          <t>Starter</t>
        </is>
      </c>
      <c r="C398" s="6" t="inlineStr">
        <is>
          <t>Annual</t>
        </is>
      </c>
      <c r="D398" s="6" t="inlineStr">
        <is>
          <t>Real Estate</t>
        </is>
      </c>
      <c r="E398" s="6" t="inlineStr">
        <is>
          <t>11-50</t>
        </is>
      </c>
      <c r="F398" s="6" t="n">
        <v>5</v>
      </c>
      <c r="G398" s="6" t="n">
        <v>39.44</v>
      </c>
      <c r="H398" s="6" t="inlineStr">
        <is>
          <t>Organic Search</t>
        </is>
      </c>
      <c r="I398" s="6" t="inlineStr">
        <is>
          <t>Europe</t>
        </is>
      </c>
      <c r="J398" s="7" t="n">
        <v>45518</v>
      </c>
      <c r="K398" s="6" t="inlineStr">
        <is>
          <t>Yes</t>
        </is>
      </c>
      <c r="L398" s="7" t="n">
        <v>45592</v>
      </c>
      <c r="M398" s="6" t="inlineStr">
        <is>
          <t>Company Closed</t>
        </is>
      </c>
      <c r="N398" s="6" t="n">
        <v>2</v>
      </c>
      <c r="O398" s="6" t="n">
        <v>1</v>
      </c>
      <c r="P398" s="6" t="n">
        <v>39</v>
      </c>
      <c r="Q398" s="6" t="inlineStr">
        <is>
          <t>No</t>
        </is>
      </c>
      <c r="R398" s="6">
        <f>IF(K398="Yes",1,0)</f>
        <v/>
      </c>
      <c r="S398" s="6">
        <f>IF(K398="No",1,0)</f>
        <v/>
      </c>
      <c r="T398" s="6">
        <f>ROUND((IF(L398="",'Subscriptions'!$T$2,L398)-J398)/30.44,1)</f>
        <v/>
      </c>
      <c r="U398" s="6">
        <f>IF(AND(P398&lt;'Subscriptions'!$T$4,O398&lt;='Subscriptions'!$T$5),1,0)</f>
        <v/>
      </c>
    </row>
    <row r="399">
      <c r="A399" s="6" t="inlineStr">
        <is>
          <t>CUST-0398</t>
        </is>
      </c>
      <c r="B399" s="6" t="inlineStr">
        <is>
          <t>Business</t>
        </is>
      </c>
      <c r="C399" s="6" t="inlineStr">
        <is>
          <t>Annual</t>
        </is>
      </c>
      <c r="D399" s="6" t="inlineStr">
        <is>
          <t>Finance</t>
        </is>
      </c>
      <c r="E399" s="6" t="inlineStr">
        <is>
          <t>500+</t>
        </is>
      </c>
      <c r="F399" s="6" t="n">
        <v>252</v>
      </c>
      <c r="G399" s="6" t="n">
        <v>6537.65</v>
      </c>
      <c r="H399" s="6" t="inlineStr">
        <is>
          <t>Organic Search</t>
        </is>
      </c>
      <c r="I399" s="6" t="inlineStr">
        <is>
          <t>North America</t>
        </is>
      </c>
      <c r="J399" s="7" t="n">
        <v>45044</v>
      </c>
      <c r="K399" s="6" t="inlineStr">
        <is>
          <t>Yes</t>
        </is>
      </c>
      <c r="L399" s="7" t="n">
        <v>45068</v>
      </c>
      <c r="M399" s="6" t="inlineStr">
        <is>
          <t>Price Too High</t>
        </is>
      </c>
      <c r="N399" s="6" t="n">
        <v>9</v>
      </c>
      <c r="O399" s="6" t="n">
        <v>6</v>
      </c>
      <c r="P399" s="6" t="n">
        <v>44</v>
      </c>
      <c r="Q399" s="6" t="inlineStr">
        <is>
          <t>No</t>
        </is>
      </c>
      <c r="R399" s="6">
        <f>IF(K399="Yes",1,0)</f>
        <v/>
      </c>
      <c r="S399" s="6">
        <f>IF(K399="No",1,0)</f>
        <v/>
      </c>
      <c r="T399" s="6">
        <f>ROUND((IF(L399="",'Subscriptions'!$T$2,L399)-J399)/30.44,1)</f>
        <v/>
      </c>
      <c r="U399" s="6">
        <f>IF(AND(P399&lt;'Subscriptions'!$T$4,O399&lt;='Subscriptions'!$T$5),1,0)</f>
        <v/>
      </c>
    </row>
    <row r="400">
      <c r="A400" s="6" t="inlineStr">
        <is>
          <t>CUST-0399</t>
        </is>
      </c>
      <c r="B400" s="6" t="inlineStr">
        <is>
          <t>Business</t>
        </is>
      </c>
      <c r="C400" s="6" t="inlineStr">
        <is>
          <t>Annual</t>
        </is>
      </c>
      <c r="D400" s="6" t="inlineStr">
        <is>
          <t>Real Estate</t>
        </is>
      </c>
      <c r="E400" s="6" t="inlineStr">
        <is>
          <t>201-500</t>
        </is>
      </c>
      <c r="F400" s="6" t="n">
        <v>86</v>
      </c>
      <c r="G400" s="6" t="n">
        <v>2325.81</v>
      </c>
      <c r="H400" s="6" t="inlineStr">
        <is>
          <t>Paid Ads</t>
        </is>
      </c>
      <c r="I400" s="6" t="inlineStr">
        <is>
          <t>North America</t>
        </is>
      </c>
      <c r="J400" s="7" t="n">
        <v>45209</v>
      </c>
      <c r="K400" s="6" t="inlineStr">
        <is>
          <t>Yes</t>
        </is>
      </c>
      <c r="L400" s="7" t="n">
        <v>45984</v>
      </c>
      <c r="M400" s="6" t="inlineStr">
        <is>
          <t>Switched Competitor</t>
        </is>
      </c>
      <c r="N400" s="6" t="n">
        <v>0</v>
      </c>
      <c r="O400" s="6" t="n">
        <v>2</v>
      </c>
      <c r="P400" s="6" t="n">
        <v>11</v>
      </c>
      <c r="Q400" s="6" t="inlineStr">
        <is>
          <t>No</t>
        </is>
      </c>
      <c r="R400" s="6">
        <f>IF(K400="Yes",1,0)</f>
        <v/>
      </c>
      <c r="S400" s="6">
        <f>IF(K400="No",1,0)</f>
        <v/>
      </c>
      <c r="T400" s="6">
        <f>ROUND((IF(L400="",'Subscriptions'!$T$2,L400)-J400)/30.44,1)</f>
        <v/>
      </c>
      <c r="U400" s="6">
        <f>IF(AND(P400&lt;'Subscriptions'!$T$4,O400&lt;='Subscriptions'!$T$5),1,0)</f>
        <v/>
      </c>
    </row>
    <row r="401">
      <c r="A401" s="6" t="inlineStr">
        <is>
          <t>CUST-0400</t>
        </is>
      </c>
      <c r="B401" s="6" t="inlineStr">
        <is>
          <t>Starter</t>
        </is>
      </c>
      <c r="C401" s="6" t="inlineStr">
        <is>
          <t>Annual</t>
        </is>
      </c>
      <c r="D401" s="6" t="inlineStr">
        <is>
          <t>Education</t>
        </is>
      </c>
      <c r="E401" s="6" t="inlineStr">
        <is>
          <t>1-10</t>
        </is>
      </c>
      <c r="F401" s="6" t="n">
        <v>5</v>
      </c>
      <c r="G401" s="6" t="n">
        <v>39.44</v>
      </c>
      <c r="H401" s="6" t="inlineStr">
        <is>
          <t>Partner</t>
        </is>
      </c>
      <c r="I401" s="6" t="inlineStr">
        <is>
          <t>North America</t>
        </is>
      </c>
      <c r="J401" s="7" t="n">
        <v>44771</v>
      </c>
      <c r="K401" s="6" t="inlineStr">
        <is>
          <t>Yes</t>
        </is>
      </c>
      <c r="L401" s="7" t="n">
        <v>45492</v>
      </c>
      <c r="M401" s="6" t="inlineStr">
        <is>
          <t>Budget Cuts</t>
        </is>
      </c>
      <c r="N401" s="6" t="n">
        <v>3</v>
      </c>
      <c r="O401" s="6" t="n">
        <v>1</v>
      </c>
      <c r="P401" s="6" t="n">
        <v>34</v>
      </c>
      <c r="Q401" s="6" t="inlineStr">
        <is>
          <t>No</t>
        </is>
      </c>
      <c r="R401" s="6">
        <f>IF(K401="Yes",1,0)</f>
        <v/>
      </c>
      <c r="S401" s="6">
        <f>IF(K401="No",1,0)</f>
        <v/>
      </c>
      <c r="T401" s="6">
        <f>ROUND((IF(L401="",'Subscriptions'!$T$2,L401)-J401)/30.44,1)</f>
        <v/>
      </c>
      <c r="U401" s="6">
        <f>IF(AND(P401&lt;'Subscriptions'!$T$4,O401&lt;='Subscriptions'!$T$5),1,0)</f>
        <v/>
      </c>
    </row>
    <row r="402">
      <c r="A402" s="6" t="inlineStr">
        <is>
          <t>CUST-0401</t>
        </is>
      </c>
      <c r="B402" s="6" t="inlineStr">
        <is>
          <t>Business</t>
        </is>
      </c>
      <c r="C402" s="6" t="inlineStr">
        <is>
          <t>Annual</t>
        </is>
      </c>
      <c r="D402" s="6" t="inlineStr">
        <is>
          <t>Healthcare</t>
        </is>
      </c>
      <c r="E402" s="6" t="inlineStr">
        <is>
          <t>1-10</t>
        </is>
      </c>
      <c r="F402" s="6" t="n">
        <v>7</v>
      </c>
      <c r="G402" s="6" t="n">
        <v>321.38</v>
      </c>
      <c r="H402" s="6" t="inlineStr">
        <is>
          <t>Organic Search</t>
        </is>
      </c>
      <c r="I402" s="6" t="inlineStr">
        <is>
          <t>North America</t>
        </is>
      </c>
      <c r="J402" s="7" t="n">
        <v>45602</v>
      </c>
      <c r="K402" s="6" t="inlineStr">
        <is>
          <t>No</t>
        </is>
      </c>
      <c r="L402" s="7" t="n"/>
      <c r="M402" s="6" t="n"/>
      <c r="N402" s="6" t="n">
        <v>9</v>
      </c>
      <c r="O402" s="6" t="n">
        <v>9</v>
      </c>
      <c r="P402" s="6" t="n">
        <v>30</v>
      </c>
      <c r="Q402" s="6" t="inlineStr">
        <is>
          <t>No</t>
        </is>
      </c>
      <c r="R402" s="6">
        <f>IF(K402="Yes",1,0)</f>
        <v/>
      </c>
      <c r="S402" s="6">
        <f>IF(K402="No",1,0)</f>
        <v/>
      </c>
      <c r="T402" s="6">
        <f>ROUND((IF(L402="",'Subscriptions'!$T$2,L402)-J402)/30.44,1)</f>
        <v/>
      </c>
      <c r="U402" s="6">
        <f>IF(AND(P402&lt;'Subscriptions'!$T$4,O402&lt;='Subscriptions'!$T$5),1,0)</f>
        <v/>
      </c>
    </row>
    <row r="403">
      <c r="A403" s="6" t="inlineStr">
        <is>
          <t>CUST-0402</t>
        </is>
      </c>
      <c r="B403" s="6" t="inlineStr">
        <is>
          <t>Professional</t>
        </is>
      </c>
      <c r="C403" s="6" t="inlineStr">
        <is>
          <t>Annual</t>
        </is>
      </c>
      <c r="D403" s="6" t="inlineStr">
        <is>
          <t>Media</t>
        </is>
      </c>
      <c r="E403" s="6" t="inlineStr">
        <is>
          <t>51-200</t>
        </is>
      </c>
      <c r="F403" s="6" t="n">
        <v>34</v>
      </c>
      <c r="G403" s="6" t="n">
        <v>399.54</v>
      </c>
      <c r="H403" s="6" t="inlineStr">
        <is>
          <t>Referral</t>
        </is>
      </c>
      <c r="I403" s="6" t="inlineStr">
        <is>
          <t>Europe</t>
        </is>
      </c>
      <c r="J403" s="7" t="n">
        <v>44655</v>
      </c>
      <c r="K403" s="6" t="inlineStr">
        <is>
          <t>Yes</t>
        </is>
      </c>
      <c r="L403" s="7" t="n">
        <v>45528</v>
      </c>
      <c r="M403" s="6" t="inlineStr">
        <is>
          <t>Company Closed</t>
        </is>
      </c>
      <c r="N403" s="6" t="n">
        <v>14</v>
      </c>
      <c r="O403" s="6" t="n">
        <v>1</v>
      </c>
      <c r="P403" s="6" t="n">
        <v>34</v>
      </c>
      <c r="Q403" s="6" t="inlineStr">
        <is>
          <t>No</t>
        </is>
      </c>
      <c r="R403" s="6">
        <f>IF(K403="Yes",1,0)</f>
        <v/>
      </c>
      <c r="S403" s="6">
        <f>IF(K403="No",1,0)</f>
        <v/>
      </c>
      <c r="T403" s="6">
        <f>ROUND((IF(L403="",'Subscriptions'!$T$2,L403)-J403)/30.44,1)</f>
        <v/>
      </c>
      <c r="U403" s="6">
        <f>IF(AND(P403&lt;'Subscriptions'!$T$4,O403&lt;='Subscriptions'!$T$5),1,0)</f>
        <v/>
      </c>
    </row>
    <row r="404">
      <c r="A404" s="6" t="inlineStr">
        <is>
          <t>CUST-0403</t>
        </is>
      </c>
      <c r="B404" s="6" t="inlineStr">
        <is>
          <t>Business</t>
        </is>
      </c>
      <c r="C404" s="6" t="inlineStr">
        <is>
          <t>Monthly</t>
        </is>
      </c>
      <c r="D404" s="6" t="inlineStr">
        <is>
          <t>Consulting</t>
        </is>
      </c>
      <c r="E404" s="6" t="inlineStr">
        <is>
          <t>1-10</t>
        </is>
      </c>
      <c r="F404" s="6" t="n">
        <v>8</v>
      </c>
      <c r="G404" s="6" t="n">
        <v>407.95</v>
      </c>
      <c r="H404" s="6" t="inlineStr">
        <is>
          <t>Organic Search</t>
        </is>
      </c>
      <c r="I404" s="6" t="inlineStr">
        <is>
          <t>North America</t>
        </is>
      </c>
      <c r="J404" s="7" t="n">
        <v>44948</v>
      </c>
      <c r="K404" s="6" t="inlineStr">
        <is>
          <t>Yes</t>
        </is>
      </c>
      <c r="L404" s="7" t="n">
        <v>45531</v>
      </c>
      <c r="M404" s="6" t="inlineStr">
        <is>
          <t>Poor Support</t>
        </is>
      </c>
      <c r="N404" s="6" t="n">
        <v>13</v>
      </c>
      <c r="O404" s="6" t="n">
        <v>5</v>
      </c>
      <c r="P404" s="6" t="n">
        <v>25</v>
      </c>
      <c r="Q404" s="6" t="inlineStr">
        <is>
          <t>No</t>
        </is>
      </c>
      <c r="R404" s="6">
        <f>IF(K404="Yes",1,0)</f>
        <v/>
      </c>
      <c r="S404" s="6">
        <f>IF(K404="No",1,0)</f>
        <v/>
      </c>
      <c r="T404" s="6">
        <f>ROUND((IF(L404="",'Subscriptions'!$T$2,L404)-J404)/30.44,1)</f>
        <v/>
      </c>
      <c r="U404" s="6">
        <f>IF(AND(P404&lt;'Subscriptions'!$T$4,O404&lt;='Subscriptions'!$T$5),1,0)</f>
        <v/>
      </c>
    </row>
    <row r="405">
      <c r="A405" s="6" t="inlineStr">
        <is>
          <t>CUST-0404</t>
        </is>
      </c>
      <c r="B405" s="6" t="inlineStr">
        <is>
          <t>Business</t>
        </is>
      </c>
      <c r="C405" s="6" t="inlineStr">
        <is>
          <t>Monthly</t>
        </is>
      </c>
      <c r="D405" s="6" t="inlineStr">
        <is>
          <t>Healthcare</t>
        </is>
      </c>
      <c r="E405" s="6" t="inlineStr">
        <is>
          <t>51-200</t>
        </is>
      </c>
      <c r="F405" s="6" t="n">
        <v>43</v>
      </c>
      <c r="G405" s="6" t="n">
        <v>1452.7</v>
      </c>
      <c r="H405" s="6" t="inlineStr">
        <is>
          <t>Partner</t>
        </is>
      </c>
      <c r="I405" s="6" t="inlineStr">
        <is>
          <t>North America</t>
        </is>
      </c>
      <c r="J405" s="7" t="n">
        <v>45925</v>
      </c>
      <c r="K405" s="6" t="inlineStr">
        <is>
          <t>No</t>
        </is>
      </c>
      <c r="L405" s="7" t="n"/>
      <c r="M405" s="6" t="n"/>
      <c r="N405" s="6" t="n">
        <v>4</v>
      </c>
      <c r="O405" s="6" t="n">
        <v>5</v>
      </c>
      <c r="P405" s="6" t="n">
        <v>79</v>
      </c>
      <c r="Q405" s="6" t="inlineStr">
        <is>
          <t>No</t>
        </is>
      </c>
      <c r="R405" s="6">
        <f>IF(K405="Yes",1,0)</f>
        <v/>
      </c>
      <c r="S405" s="6">
        <f>IF(K405="No",1,0)</f>
        <v/>
      </c>
      <c r="T405" s="6">
        <f>ROUND((IF(L405="",'Subscriptions'!$T$2,L405)-J405)/30.44,1)</f>
        <v/>
      </c>
      <c r="U405" s="6">
        <f>IF(AND(P405&lt;'Subscriptions'!$T$4,O405&lt;='Subscriptions'!$T$5),1,0)</f>
        <v/>
      </c>
    </row>
    <row r="406">
      <c r="A406" s="6" t="inlineStr">
        <is>
          <t>CUST-0405</t>
        </is>
      </c>
      <c r="B406" s="6" t="inlineStr">
        <is>
          <t>Business</t>
        </is>
      </c>
      <c r="C406" s="6" t="inlineStr">
        <is>
          <t>Monthly</t>
        </is>
      </c>
      <c r="D406" s="6" t="inlineStr">
        <is>
          <t>Manufacturing</t>
        </is>
      </c>
      <c r="E406" s="6" t="inlineStr">
        <is>
          <t>11-50</t>
        </is>
      </c>
      <c r="F406" s="6" t="n">
        <v>7</v>
      </c>
      <c r="G406" s="6" t="n">
        <v>378.1</v>
      </c>
      <c r="H406" s="6" t="inlineStr">
        <is>
          <t>Paid Ads</t>
        </is>
      </c>
      <c r="I406" s="6" t="inlineStr">
        <is>
          <t>North America</t>
        </is>
      </c>
      <c r="J406" s="7" t="n">
        <v>45711</v>
      </c>
      <c r="K406" s="6" t="inlineStr">
        <is>
          <t>No</t>
        </is>
      </c>
      <c r="L406" s="7" t="n"/>
      <c r="M406" s="6" t="n"/>
      <c r="N406" s="6" t="n">
        <v>11</v>
      </c>
      <c r="O406" s="6" t="n">
        <v>1</v>
      </c>
      <c r="P406" s="6" t="n">
        <v>29</v>
      </c>
      <c r="Q406" s="6" t="inlineStr">
        <is>
          <t>Yes</t>
        </is>
      </c>
      <c r="R406" s="6">
        <f>IF(K406="Yes",1,0)</f>
        <v/>
      </c>
      <c r="S406" s="6">
        <f>IF(K406="No",1,0)</f>
        <v/>
      </c>
      <c r="T406" s="6">
        <f>ROUND((IF(L406="",'Subscriptions'!$T$2,L406)-J406)/30.44,1)</f>
        <v/>
      </c>
      <c r="U406" s="6">
        <f>IF(AND(P406&lt;'Subscriptions'!$T$4,O406&lt;='Subscriptions'!$T$5),1,0)</f>
        <v/>
      </c>
    </row>
    <row r="407">
      <c r="A407" s="6" t="inlineStr">
        <is>
          <t>CUST-0406</t>
        </is>
      </c>
      <c r="B407" s="6" t="inlineStr">
        <is>
          <t>Business</t>
        </is>
      </c>
      <c r="C407" s="6" t="inlineStr">
        <is>
          <t>Monthly</t>
        </is>
      </c>
      <c r="D407" s="6" t="inlineStr">
        <is>
          <t>Retail</t>
        </is>
      </c>
      <c r="E407" s="6" t="inlineStr">
        <is>
          <t>51-200</t>
        </is>
      </c>
      <c r="F407" s="6" t="n">
        <v>29</v>
      </c>
      <c r="G407" s="6" t="n">
        <v>1034.8</v>
      </c>
      <c r="H407" s="6" t="inlineStr">
        <is>
          <t>Direct Sales</t>
        </is>
      </c>
      <c r="I407" s="6" t="inlineStr">
        <is>
          <t>North America</t>
        </is>
      </c>
      <c r="J407" s="7" t="n">
        <v>44979</v>
      </c>
      <c r="K407" s="6" t="inlineStr">
        <is>
          <t>Yes</t>
        </is>
      </c>
      <c r="L407" s="7" t="n">
        <v>45929</v>
      </c>
      <c r="M407" s="6" t="inlineStr">
        <is>
          <t>Missing Features</t>
        </is>
      </c>
      <c r="N407" s="6" t="n">
        <v>14</v>
      </c>
      <c r="O407" s="6" t="n">
        <v>4</v>
      </c>
      <c r="P407" s="6" t="n">
        <v>41</v>
      </c>
      <c r="Q407" s="6" t="inlineStr">
        <is>
          <t>No</t>
        </is>
      </c>
      <c r="R407" s="6">
        <f>IF(K407="Yes",1,0)</f>
        <v/>
      </c>
      <c r="S407" s="6">
        <f>IF(K407="No",1,0)</f>
        <v/>
      </c>
      <c r="T407" s="6">
        <f>ROUND((IF(L407="",'Subscriptions'!$T$2,L407)-J407)/30.44,1)</f>
        <v/>
      </c>
      <c r="U407" s="6">
        <f>IF(AND(P407&lt;'Subscriptions'!$T$4,O407&lt;='Subscriptions'!$T$5),1,0)</f>
        <v/>
      </c>
    </row>
    <row r="408">
      <c r="A408" s="6" t="inlineStr">
        <is>
          <t>CUST-0407</t>
        </is>
      </c>
      <c r="B408" s="6" t="inlineStr">
        <is>
          <t>Professional</t>
        </is>
      </c>
      <c r="C408" s="6" t="inlineStr">
        <is>
          <t>Annual</t>
        </is>
      </c>
      <c r="D408" s="6" t="inlineStr">
        <is>
          <t>Consulting</t>
        </is>
      </c>
      <c r="E408" s="6" t="inlineStr">
        <is>
          <t>500+</t>
        </is>
      </c>
      <c r="F408" s="6" t="n">
        <v>115</v>
      </c>
      <c r="G408" s="6" t="n">
        <v>1215.41</v>
      </c>
      <c r="H408" s="6" t="inlineStr">
        <is>
          <t>Referral</t>
        </is>
      </c>
      <c r="I408" s="6" t="inlineStr">
        <is>
          <t>Europe</t>
        </is>
      </c>
      <c r="J408" s="7" t="n">
        <v>44816</v>
      </c>
      <c r="K408" s="6" t="inlineStr">
        <is>
          <t>Yes</t>
        </is>
      </c>
      <c r="L408" s="7" t="n">
        <v>45019</v>
      </c>
      <c r="M408" s="6" t="inlineStr">
        <is>
          <t>Missing Features</t>
        </is>
      </c>
      <c r="N408" s="6" t="n">
        <v>7</v>
      </c>
      <c r="O408" s="6" t="n">
        <v>4</v>
      </c>
      <c r="P408" s="6" t="n">
        <v>48</v>
      </c>
      <c r="Q408" s="6" t="inlineStr">
        <is>
          <t>No</t>
        </is>
      </c>
      <c r="R408" s="6">
        <f>IF(K408="Yes",1,0)</f>
        <v/>
      </c>
      <c r="S408" s="6">
        <f>IF(K408="No",1,0)</f>
        <v/>
      </c>
      <c r="T408" s="6">
        <f>ROUND((IF(L408="",'Subscriptions'!$T$2,L408)-J408)/30.44,1)</f>
        <v/>
      </c>
      <c r="U408" s="6">
        <f>IF(AND(P408&lt;'Subscriptions'!$T$4,O408&lt;='Subscriptions'!$T$5),1,0)</f>
        <v/>
      </c>
    </row>
    <row r="409">
      <c r="A409" s="6" t="inlineStr">
        <is>
          <t>CUST-0408</t>
        </is>
      </c>
      <c r="B409" s="6" t="inlineStr">
        <is>
          <t>Starter</t>
        </is>
      </c>
      <c r="C409" s="6" t="inlineStr">
        <is>
          <t>Monthly</t>
        </is>
      </c>
      <c r="D409" s="6" t="inlineStr">
        <is>
          <t>Finance</t>
        </is>
      </c>
      <c r="E409" s="6" t="inlineStr">
        <is>
          <t>51-200</t>
        </is>
      </c>
      <c r="F409" s="6" t="n">
        <v>75</v>
      </c>
      <c r="G409" s="6" t="n">
        <v>350.9</v>
      </c>
      <c r="H409" s="6" t="inlineStr">
        <is>
          <t>Paid Ads</t>
        </is>
      </c>
      <c r="I409" s="6" t="inlineStr">
        <is>
          <t>North America</t>
        </is>
      </c>
      <c r="J409" s="7" t="n">
        <v>45944</v>
      </c>
      <c r="K409" s="6" t="inlineStr">
        <is>
          <t>No</t>
        </is>
      </c>
      <c r="L409" s="7" t="n"/>
      <c r="M409" s="6" t="n"/>
      <c r="N409" s="6" t="n">
        <v>10</v>
      </c>
      <c r="O409" s="6" t="n">
        <v>8</v>
      </c>
      <c r="P409" s="6" t="n">
        <v>92</v>
      </c>
      <c r="Q409" s="6" t="inlineStr">
        <is>
          <t>No</t>
        </is>
      </c>
      <c r="R409" s="6">
        <f>IF(K409="Yes",1,0)</f>
        <v/>
      </c>
      <c r="S409" s="6">
        <f>IF(K409="No",1,0)</f>
        <v/>
      </c>
      <c r="T409" s="6">
        <f>ROUND((IF(L409="",'Subscriptions'!$T$2,L409)-J409)/30.44,1)</f>
        <v/>
      </c>
      <c r="U409" s="6">
        <f>IF(AND(P409&lt;'Subscriptions'!$T$4,O409&lt;='Subscriptions'!$T$5),1,0)</f>
        <v/>
      </c>
    </row>
    <row r="410">
      <c r="A410" s="6" t="inlineStr">
        <is>
          <t>CUST-0409</t>
        </is>
      </c>
      <c r="B410" s="6" t="inlineStr">
        <is>
          <t>Starter</t>
        </is>
      </c>
      <c r="C410" s="6" t="inlineStr">
        <is>
          <t>Monthly</t>
        </is>
      </c>
      <c r="D410" s="6" t="inlineStr">
        <is>
          <t>Manufacturing</t>
        </is>
      </c>
      <c r="E410" s="6" t="inlineStr">
        <is>
          <t>1-10</t>
        </is>
      </c>
      <c r="F410" s="6" t="n">
        <v>8</v>
      </c>
      <c r="G410" s="6" t="n">
        <v>59.45</v>
      </c>
      <c r="H410" s="6" t="inlineStr">
        <is>
          <t>Referral</t>
        </is>
      </c>
      <c r="I410" s="6" t="inlineStr">
        <is>
          <t>North America</t>
        </is>
      </c>
      <c r="J410" s="7" t="n">
        <v>45748</v>
      </c>
      <c r="K410" s="6" t="inlineStr">
        <is>
          <t>Yes</t>
        </is>
      </c>
      <c r="L410" s="7" t="n">
        <v>45766</v>
      </c>
      <c r="M410" s="6" t="inlineStr">
        <is>
          <t>Poor Support</t>
        </is>
      </c>
      <c r="N410" s="6" t="n">
        <v>11</v>
      </c>
      <c r="O410" s="6" t="n">
        <v>2</v>
      </c>
      <c r="P410" s="6" t="n">
        <v>27</v>
      </c>
      <c r="Q410" s="6" t="inlineStr">
        <is>
          <t>No</t>
        </is>
      </c>
      <c r="R410" s="6">
        <f>IF(K410="Yes",1,0)</f>
        <v/>
      </c>
      <c r="S410" s="6">
        <f>IF(K410="No",1,0)</f>
        <v/>
      </c>
      <c r="T410" s="6">
        <f>ROUND((IF(L410="",'Subscriptions'!$T$2,L410)-J410)/30.44,1)</f>
        <v/>
      </c>
      <c r="U410" s="6">
        <f>IF(AND(P410&lt;'Subscriptions'!$T$4,O410&lt;='Subscriptions'!$T$5),1,0)</f>
        <v/>
      </c>
    </row>
    <row r="411">
      <c r="A411" s="6" t="inlineStr">
        <is>
          <t>CUST-0410</t>
        </is>
      </c>
      <c r="B411" s="6" t="inlineStr">
        <is>
          <t>Professional</t>
        </is>
      </c>
      <c r="C411" s="6" t="inlineStr">
        <is>
          <t>Monthly</t>
        </is>
      </c>
      <c r="D411" s="6" t="inlineStr">
        <is>
          <t>Legal</t>
        </is>
      </c>
      <c r="E411" s="6" t="inlineStr">
        <is>
          <t>201-500</t>
        </is>
      </c>
      <c r="F411" s="6" t="n">
        <v>125</v>
      </c>
      <c r="G411" s="6" t="n">
        <v>1548.4</v>
      </c>
      <c r="H411" s="6" t="inlineStr">
        <is>
          <t>Referral</t>
        </is>
      </c>
      <c r="I411" s="6" t="inlineStr">
        <is>
          <t>North America</t>
        </is>
      </c>
      <c r="J411" s="7" t="n">
        <v>44637</v>
      </c>
      <c r="K411" s="6" t="inlineStr">
        <is>
          <t>Yes</t>
        </is>
      </c>
      <c r="L411" s="7" t="n">
        <v>45096</v>
      </c>
      <c r="M411" s="6" t="inlineStr">
        <is>
          <t>Price Too High</t>
        </is>
      </c>
      <c r="N411" s="6" t="n">
        <v>14</v>
      </c>
      <c r="O411" s="6" t="n">
        <v>4</v>
      </c>
      <c r="P411" s="6" t="n">
        <v>12</v>
      </c>
      <c r="Q411" s="6" t="inlineStr">
        <is>
          <t>No</t>
        </is>
      </c>
      <c r="R411" s="6">
        <f>IF(K411="Yes",1,0)</f>
        <v/>
      </c>
      <c r="S411" s="6">
        <f>IF(K411="No",1,0)</f>
        <v/>
      </c>
      <c r="T411" s="6">
        <f>ROUND((IF(L411="",'Subscriptions'!$T$2,L411)-J411)/30.44,1)</f>
        <v/>
      </c>
      <c r="U411" s="6">
        <f>IF(AND(P411&lt;'Subscriptions'!$T$4,O411&lt;='Subscriptions'!$T$5),1,0)</f>
        <v/>
      </c>
    </row>
    <row r="412">
      <c r="A412" s="6" t="inlineStr">
        <is>
          <t>CUST-0411</t>
        </is>
      </c>
      <c r="B412" s="6" t="inlineStr">
        <is>
          <t>Professional</t>
        </is>
      </c>
      <c r="C412" s="6" t="inlineStr">
        <is>
          <t>Monthly</t>
        </is>
      </c>
      <c r="D412" s="6" t="inlineStr">
        <is>
          <t>Finance</t>
        </is>
      </c>
      <c r="E412" s="6" t="inlineStr">
        <is>
          <t>201-500</t>
        </is>
      </c>
      <c r="F412" s="6" t="n">
        <v>92</v>
      </c>
      <c r="G412" s="6" t="n">
        <v>1157.35</v>
      </c>
      <c r="H412" s="6" t="inlineStr">
        <is>
          <t>Paid Ads</t>
        </is>
      </c>
      <c r="I412" s="6" t="inlineStr">
        <is>
          <t>Europe</t>
        </is>
      </c>
      <c r="J412" s="7" t="n">
        <v>45532</v>
      </c>
      <c r="K412" s="6" t="inlineStr">
        <is>
          <t>Yes</t>
        </is>
      </c>
      <c r="L412" s="7" t="n">
        <v>45932</v>
      </c>
      <c r="M412" s="6" t="inlineStr">
        <is>
          <t>Price Too High</t>
        </is>
      </c>
      <c r="N412" s="6" t="n">
        <v>13</v>
      </c>
      <c r="O412" s="6" t="n">
        <v>1</v>
      </c>
      <c r="P412" s="6" t="n">
        <v>18</v>
      </c>
      <c r="Q412" s="6" t="inlineStr">
        <is>
          <t>No</t>
        </is>
      </c>
      <c r="R412" s="6">
        <f>IF(K412="Yes",1,0)</f>
        <v/>
      </c>
      <c r="S412" s="6">
        <f>IF(K412="No",1,0)</f>
        <v/>
      </c>
      <c r="T412" s="6">
        <f>ROUND((IF(L412="",'Subscriptions'!$T$2,L412)-J412)/30.44,1)</f>
        <v/>
      </c>
      <c r="U412" s="6">
        <f>IF(AND(P412&lt;'Subscriptions'!$T$4,O412&lt;='Subscriptions'!$T$5),1,0)</f>
        <v/>
      </c>
    </row>
    <row r="413">
      <c r="A413" s="6" t="inlineStr">
        <is>
          <t>CUST-0412</t>
        </is>
      </c>
      <c r="B413" s="6" t="inlineStr">
        <is>
          <t>Professional</t>
        </is>
      </c>
      <c r="C413" s="6" t="inlineStr">
        <is>
          <t>Monthly</t>
        </is>
      </c>
      <c r="D413" s="6" t="inlineStr">
        <is>
          <t>Healthcare</t>
        </is>
      </c>
      <c r="E413" s="6" t="inlineStr">
        <is>
          <t>51-200</t>
        </is>
      </c>
      <c r="F413" s="6" t="n">
        <v>45</v>
      </c>
      <c r="G413" s="6" t="n">
        <v>600.4</v>
      </c>
      <c r="H413" s="6" t="inlineStr">
        <is>
          <t>Paid Ads</t>
        </is>
      </c>
      <c r="I413" s="6" t="inlineStr">
        <is>
          <t>North America</t>
        </is>
      </c>
      <c r="J413" s="7" t="n">
        <v>44890</v>
      </c>
      <c r="K413" s="6" t="inlineStr">
        <is>
          <t>Yes</t>
        </is>
      </c>
      <c r="L413" s="7" t="n">
        <v>45071</v>
      </c>
      <c r="M413" s="6" t="inlineStr">
        <is>
          <t>No Longer Needed</t>
        </is>
      </c>
      <c r="N413" s="6" t="n">
        <v>8</v>
      </c>
      <c r="O413" s="6" t="n">
        <v>4</v>
      </c>
      <c r="P413" s="6" t="n">
        <v>24</v>
      </c>
      <c r="Q413" s="6" t="inlineStr">
        <is>
          <t>No</t>
        </is>
      </c>
      <c r="R413" s="6">
        <f>IF(K413="Yes",1,0)</f>
        <v/>
      </c>
      <c r="S413" s="6">
        <f>IF(K413="No",1,0)</f>
        <v/>
      </c>
      <c r="T413" s="6">
        <f>ROUND((IF(L413="",'Subscriptions'!$T$2,L413)-J413)/30.44,1)</f>
        <v/>
      </c>
      <c r="U413" s="6">
        <f>IF(AND(P413&lt;'Subscriptions'!$T$4,O413&lt;='Subscriptions'!$T$5),1,0)</f>
        <v/>
      </c>
    </row>
    <row r="414">
      <c r="A414" s="6" t="inlineStr">
        <is>
          <t>CUST-0413</t>
        </is>
      </c>
      <c r="B414" s="6" t="inlineStr">
        <is>
          <t>Business</t>
        </is>
      </c>
      <c r="C414" s="6" t="inlineStr">
        <is>
          <t>Annual</t>
        </is>
      </c>
      <c r="D414" s="6" t="inlineStr">
        <is>
          <t>Real Estate</t>
        </is>
      </c>
      <c r="E414" s="6" t="inlineStr">
        <is>
          <t>201-500</t>
        </is>
      </c>
      <c r="F414" s="6" t="n">
        <v>49</v>
      </c>
      <c r="G414" s="6" t="n">
        <v>1387.03</v>
      </c>
      <c r="H414" s="6" t="inlineStr">
        <is>
          <t>Partner</t>
        </is>
      </c>
      <c r="I414" s="6" t="inlineStr">
        <is>
          <t>Asia Pacific</t>
        </is>
      </c>
      <c r="J414" s="7" t="n">
        <v>44847</v>
      </c>
      <c r="K414" s="6" t="inlineStr">
        <is>
          <t>No</t>
        </is>
      </c>
      <c r="L414" s="7" t="n"/>
      <c r="M414" s="6" t="n"/>
      <c r="N414" s="6" t="n">
        <v>0</v>
      </c>
      <c r="O414" s="6" t="n">
        <v>9</v>
      </c>
      <c r="P414" s="6" t="n">
        <v>95</v>
      </c>
      <c r="Q414" s="6" t="inlineStr">
        <is>
          <t>No</t>
        </is>
      </c>
      <c r="R414" s="6">
        <f>IF(K414="Yes",1,0)</f>
        <v/>
      </c>
      <c r="S414" s="6">
        <f>IF(K414="No",1,0)</f>
        <v/>
      </c>
      <c r="T414" s="6">
        <f>ROUND((IF(L414="",'Subscriptions'!$T$2,L414)-J414)/30.44,1)</f>
        <v/>
      </c>
      <c r="U414" s="6">
        <f>IF(AND(P414&lt;'Subscriptions'!$T$4,O414&lt;='Subscriptions'!$T$5),1,0)</f>
        <v/>
      </c>
    </row>
    <row r="415">
      <c r="A415" s="6" t="inlineStr">
        <is>
          <t>CUST-0414</t>
        </is>
      </c>
      <c r="B415" s="6" t="inlineStr">
        <is>
          <t>Business</t>
        </is>
      </c>
      <c r="C415" s="6" t="inlineStr">
        <is>
          <t>Monthly</t>
        </is>
      </c>
      <c r="D415" s="6" t="inlineStr">
        <is>
          <t>Real Estate</t>
        </is>
      </c>
      <c r="E415" s="6" t="inlineStr">
        <is>
          <t>201-500</t>
        </is>
      </c>
      <c r="F415" s="6" t="n">
        <v>137</v>
      </c>
      <c r="G415" s="6" t="n">
        <v>4258.6</v>
      </c>
      <c r="H415" s="6" t="inlineStr">
        <is>
          <t>Referral</t>
        </is>
      </c>
      <c r="I415" s="6" t="inlineStr">
        <is>
          <t>Asia Pacific</t>
        </is>
      </c>
      <c r="J415" s="7" t="n">
        <v>45130</v>
      </c>
      <c r="K415" s="6" t="inlineStr">
        <is>
          <t>Yes</t>
        </is>
      </c>
      <c r="L415" s="7" t="n">
        <v>45516</v>
      </c>
      <c r="M415" s="6" t="inlineStr">
        <is>
          <t>Missing Features</t>
        </is>
      </c>
      <c r="N415" s="6" t="n">
        <v>15</v>
      </c>
      <c r="O415" s="6" t="n">
        <v>1</v>
      </c>
      <c r="P415" s="6" t="n">
        <v>25</v>
      </c>
      <c r="Q415" s="6" t="inlineStr">
        <is>
          <t>No</t>
        </is>
      </c>
      <c r="R415" s="6">
        <f>IF(K415="Yes",1,0)</f>
        <v/>
      </c>
      <c r="S415" s="6">
        <f>IF(K415="No",1,0)</f>
        <v/>
      </c>
      <c r="T415" s="6">
        <f>ROUND((IF(L415="",'Subscriptions'!$T$2,L415)-J415)/30.44,1)</f>
        <v/>
      </c>
      <c r="U415" s="6">
        <f>IF(AND(P415&lt;'Subscriptions'!$T$4,O415&lt;='Subscriptions'!$T$5),1,0)</f>
        <v/>
      </c>
    </row>
    <row r="416">
      <c r="A416" s="6" t="inlineStr">
        <is>
          <t>CUST-0415</t>
        </is>
      </c>
      <c r="B416" s="6" t="inlineStr">
        <is>
          <t>Starter</t>
        </is>
      </c>
      <c r="C416" s="6" t="inlineStr">
        <is>
          <t>Monthly</t>
        </is>
      </c>
      <c r="D416" s="6" t="inlineStr">
        <is>
          <t>Retail</t>
        </is>
      </c>
      <c r="E416" s="6" t="inlineStr">
        <is>
          <t>11-50</t>
        </is>
      </c>
      <c r="F416" s="6" t="n">
        <v>13</v>
      </c>
      <c r="G416" s="6" t="n">
        <v>81.2</v>
      </c>
      <c r="H416" s="6" t="inlineStr">
        <is>
          <t>Social Media</t>
        </is>
      </c>
      <c r="I416" s="6" t="inlineStr">
        <is>
          <t>Europe</t>
        </is>
      </c>
      <c r="J416" s="7" t="n">
        <v>45543</v>
      </c>
      <c r="K416" s="6" t="inlineStr">
        <is>
          <t>Yes</t>
        </is>
      </c>
      <c r="L416" s="7" t="n">
        <v>45580</v>
      </c>
      <c r="M416" s="6" t="inlineStr">
        <is>
          <t>Switched Competitor</t>
        </is>
      </c>
      <c r="N416" s="6" t="n">
        <v>7</v>
      </c>
      <c r="O416" s="6" t="n">
        <v>3</v>
      </c>
      <c r="P416" s="6" t="n">
        <v>45</v>
      </c>
      <c r="Q416" s="6" t="inlineStr">
        <is>
          <t>No</t>
        </is>
      </c>
      <c r="R416" s="6">
        <f>IF(K416="Yes",1,0)</f>
        <v/>
      </c>
      <c r="S416" s="6">
        <f>IF(K416="No",1,0)</f>
        <v/>
      </c>
      <c r="T416" s="6">
        <f>ROUND((IF(L416="",'Subscriptions'!$T$2,L416)-J416)/30.44,1)</f>
        <v/>
      </c>
      <c r="U416" s="6">
        <f>IF(AND(P416&lt;'Subscriptions'!$T$4,O416&lt;='Subscriptions'!$T$5),1,0)</f>
        <v/>
      </c>
    </row>
    <row r="417">
      <c r="A417" s="6" t="inlineStr">
        <is>
          <t>CUST-0416</t>
        </is>
      </c>
      <c r="B417" s="6" t="inlineStr">
        <is>
          <t>Business</t>
        </is>
      </c>
      <c r="C417" s="6" t="inlineStr">
        <is>
          <t>Annual</t>
        </is>
      </c>
      <c r="D417" s="6" t="inlineStr">
        <is>
          <t>Manufacturing</t>
        </is>
      </c>
      <c r="E417" s="6" t="inlineStr">
        <is>
          <t>11-50</t>
        </is>
      </c>
      <c r="F417" s="6" t="n">
        <v>14</v>
      </c>
      <c r="G417" s="6" t="n">
        <v>498.99</v>
      </c>
      <c r="H417" s="6" t="inlineStr">
        <is>
          <t>Social Media</t>
        </is>
      </c>
      <c r="I417" s="6" t="inlineStr">
        <is>
          <t>Europe</t>
        </is>
      </c>
      <c r="J417" s="7" t="n">
        <v>45706</v>
      </c>
      <c r="K417" s="6" t="inlineStr">
        <is>
          <t>Yes</t>
        </is>
      </c>
      <c r="L417" s="7" t="n">
        <v>45795</v>
      </c>
      <c r="M417" s="6" t="inlineStr">
        <is>
          <t>Missing Features</t>
        </is>
      </c>
      <c r="N417" s="6" t="n">
        <v>13</v>
      </c>
      <c r="O417" s="6" t="n">
        <v>1</v>
      </c>
      <c r="P417" s="6" t="n">
        <v>33</v>
      </c>
      <c r="Q417" s="6" t="inlineStr">
        <is>
          <t>No</t>
        </is>
      </c>
      <c r="R417" s="6">
        <f>IF(K417="Yes",1,0)</f>
        <v/>
      </c>
      <c r="S417" s="6">
        <f>IF(K417="No",1,0)</f>
        <v/>
      </c>
      <c r="T417" s="6">
        <f>ROUND((IF(L417="",'Subscriptions'!$T$2,L417)-J417)/30.44,1)</f>
        <v/>
      </c>
      <c r="U417" s="6">
        <f>IF(AND(P417&lt;'Subscriptions'!$T$4,O417&lt;='Subscriptions'!$T$5),1,0)</f>
        <v/>
      </c>
    </row>
    <row r="418">
      <c r="A418" s="6" t="inlineStr">
        <is>
          <t>CUST-0417</t>
        </is>
      </c>
      <c r="B418" s="6" t="inlineStr">
        <is>
          <t>Starter</t>
        </is>
      </c>
      <c r="C418" s="6" t="inlineStr">
        <is>
          <t>Annual</t>
        </is>
      </c>
      <c r="D418" s="6" t="inlineStr">
        <is>
          <t>Real Estate</t>
        </is>
      </c>
      <c r="E418" s="6" t="inlineStr">
        <is>
          <t>11-50</t>
        </is>
      </c>
      <c r="F418" s="6" t="n">
        <v>18</v>
      </c>
      <c r="G418" s="6" t="n">
        <v>87.51000000000001</v>
      </c>
      <c r="H418" s="6" t="inlineStr">
        <is>
          <t>Organic Search</t>
        </is>
      </c>
      <c r="I418" s="6" t="inlineStr">
        <is>
          <t>Latin America</t>
        </is>
      </c>
      <c r="J418" s="7" t="n">
        <v>45521</v>
      </c>
      <c r="K418" s="6" t="inlineStr">
        <is>
          <t>Yes</t>
        </is>
      </c>
      <c r="L418" s="7" t="n">
        <v>45595</v>
      </c>
      <c r="M418" s="6" t="inlineStr">
        <is>
          <t>Price Too High</t>
        </is>
      </c>
      <c r="N418" s="6" t="n">
        <v>10</v>
      </c>
      <c r="O418" s="6" t="n">
        <v>1</v>
      </c>
      <c r="P418" s="6" t="n">
        <v>36</v>
      </c>
      <c r="Q418" s="6" t="inlineStr">
        <is>
          <t>No</t>
        </is>
      </c>
      <c r="R418" s="6">
        <f>IF(K418="Yes",1,0)</f>
        <v/>
      </c>
      <c r="S418" s="6">
        <f>IF(K418="No",1,0)</f>
        <v/>
      </c>
      <c r="T418" s="6">
        <f>ROUND((IF(L418="",'Subscriptions'!$T$2,L418)-J418)/30.44,1)</f>
        <v/>
      </c>
      <c r="U418" s="6">
        <f>IF(AND(P418&lt;'Subscriptions'!$T$4,O418&lt;='Subscriptions'!$T$5),1,0)</f>
        <v/>
      </c>
    </row>
    <row r="419">
      <c r="A419" s="6" t="inlineStr">
        <is>
          <t>CUST-0418</t>
        </is>
      </c>
      <c r="B419" s="6" t="inlineStr">
        <is>
          <t>Starter</t>
        </is>
      </c>
      <c r="C419" s="6" t="inlineStr">
        <is>
          <t>Monthly</t>
        </is>
      </c>
      <c r="D419" s="6" t="inlineStr">
        <is>
          <t>Consulting</t>
        </is>
      </c>
      <c r="E419" s="6" t="inlineStr">
        <is>
          <t>1-10</t>
        </is>
      </c>
      <c r="F419" s="6" t="n">
        <v>2</v>
      </c>
      <c r="G419" s="6" t="n">
        <v>33.35</v>
      </c>
      <c r="H419" s="6" t="inlineStr">
        <is>
          <t>Social Media</t>
        </is>
      </c>
      <c r="I419" s="6" t="inlineStr">
        <is>
          <t>Latin America</t>
        </is>
      </c>
      <c r="J419" s="7" t="n">
        <v>44839</v>
      </c>
      <c r="K419" s="6" t="inlineStr">
        <is>
          <t>Yes</t>
        </is>
      </c>
      <c r="L419" s="7" t="n">
        <v>45110</v>
      </c>
      <c r="M419" s="6" t="inlineStr">
        <is>
          <t>Switched Competitor</t>
        </is>
      </c>
      <c r="N419" s="6" t="n">
        <v>11</v>
      </c>
      <c r="O419" s="6" t="n">
        <v>1</v>
      </c>
      <c r="P419" s="6" t="n">
        <v>37</v>
      </c>
      <c r="Q419" s="6" t="inlineStr">
        <is>
          <t>No</t>
        </is>
      </c>
      <c r="R419" s="6">
        <f>IF(K419="Yes",1,0)</f>
        <v/>
      </c>
      <c r="S419" s="6">
        <f>IF(K419="No",1,0)</f>
        <v/>
      </c>
      <c r="T419" s="6">
        <f>ROUND((IF(L419="",'Subscriptions'!$T$2,L419)-J419)/30.44,1)</f>
        <v/>
      </c>
      <c r="U419" s="6">
        <f>IF(AND(P419&lt;'Subscriptions'!$T$4,O419&lt;='Subscriptions'!$T$5),1,0)</f>
        <v/>
      </c>
    </row>
    <row r="420">
      <c r="A420" s="6" t="inlineStr">
        <is>
          <t>CUST-0419</t>
        </is>
      </c>
      <c r="B420" s="6" t="inlineStr">
        <is>
          <t>Professional</t>
        </is>
      </c>
      <c r="C420" s="6" t="inlineStr">
        <is>
          <t>Annual</t>
        </is>
      </c>
      <c r="D420" s="6" t="inlineStr">
        <is>
          <t>Manufacturing</t>
        </is>
      </c>
      <c r="E420" s="6" t="inlineStr">
        <is>
          <t>201-500</t>
        </is>
      </c>
      <c r="F420" s="6" t="n">
        <v>143</v>
      </c>
      <c r="G420" s="6" t="n">
        <v>1497.45</v>
      </c>
      <c r="H420" s="6" t="inlineStr">
        <is>
          <t>Organic Search</t>
        </is>
      </c>
      <c r="I420" s="6" t="inlineStr">
        <is>
          <t>Europe</t>
        </is>
      </c>
      <c r="J420" s="7" t="n">
        <v>44655</v>
      </c>
      <c r="K420" s="6" t="inlineStr">
        <is>
          <t>No</t>
        </is>
      </c>
      <c r="L420" s="7" t="n"/>
      <c r="M420" s="6" t="n"/>
      <c r="N420" s="6" t="n">
        <v>2</v>
      </c>
      <c r="O420" s="6" t="n">
        <v>9</v>
      </c>
      <c r="P420" s="6" t="n">
        <v>29</v>
      </c>
      <c r="Q420" s="6" t="inlineStr">
        <is>
          <t>Yes</t>
        </is>
      </c>
      <c r="R420" s="6">
        <f>IF(K420="Yes",1,0)</f>
        <v/>
      </c>
      <c r="S420" s="6">
        <f>IF(K420="No",1,0)</f>
        <v/>
      </c>
      <c r="T420" s="6">
        <f>ROUND((IF(L420="",'Subscriptions'!$T$2,L420)-J420)/30.44,1)</f>
        <v/>
      </c>
      <c r="U420" s="6">
        <f>IF(AND(P420&lt;'Subscriptions'!$T$4,O420&lt;='Subscriptions'!$T$5),1,0)</f>
        <v/>
      </c>
    </row>
    <row r="421">
      <c r="A421" s="6" t="inlineStr">
        <is>
          <t>CUST-0420</t>
        </is>
      </c>
      <c r="B421" s="6" t="inlineStr">
        <is>
          <t>Professional</t>
        </is>
      </c>
      <c r="C421" s="6" t="inlineStr">
        <is>
          <t>Monthly</t>
        </is>
      </c>
      <c r="D421" s="6" t="inlineStr">
        <is>
          <t>Retail</t>
        </is>
      </c>
      <c r="E421" s="6" t="inlineStr">
        <is>
          <t>1-10</t>
        </is>
      </c>
      <c r="F421" s="6" t="n">
        <v>8</v>
      </c>
      <c r="G421" s="6" t="n">
        <v>161.95</v>
      </c>
      <c r="H421" s="6" t="inlineStr">
        <is>
          <t>Referral</t>
        </is>
      </c>
      <c r="I421" s="6" t="inlineStr">
        <is>
          <t>North America</t>
        </is>
      </c>
      <c r="J421" s="7" t="n">
        <v>44627</v>
      </c>
      <c r="K421" s="6" t="inlineStr">
        <is>
          <t>Yes</t>
        </is>
      </c>
      <c r="L421" s="7" t="n">
        <v>45349</v>
      </c>
      <c r="M421" s="6" t="inlineStr">
        <is>
          <t>Missing Features</t>
        </is>
      </c>
      <c r="N421" s="6" t="n">
        <v>7</v>
      </c>
      <c r="O421" s="6" t="n">
        <v>2</v>
      </c>
      <c r="P421" s="6" t="n">
        <v>10</v>
      </c>
      <c r="Q421" s="6" t="inlineStr">
        <is>
          <t>No</t>
        </is>
      </c>
      <c r="R421" s="6">
        <f>IF(K421="Yes",1,0)</f>
        <v/>
      </c>
      <c r="S421" s="6">
        <f>IF(K421="No",1,0)</f>
        <v/>
      </c>
      <c r="T421" s="6">
        <f>ROUND((IF(L421="",'Subscriptions'!$T$2,L421)-J421)/30.44,1)</f>
        <v/>
      </c>
      <c r="U421" s="6">
        <f>IF(AND(P421&lt;'Subscriptions'!$T$4,O421&lt;='Subscriptions'!$T$5),1,0)</f>
        <v/>
      </c>
    </row>
    <row r="422">
      <c r="A422" s="6" t="inlineStr">
        <is>
          <t>CUST-0421</t>
        </is>
      </c>
      <c r="B422" s="6" t="inlineStr">
        <is>
          <t>Professional</t>
        </is>
      </c>
      <c r="C422" s="6" t="inlineStr">
        <is>
          <t>Monthly</t>
        </is>
      </c>
      <c r="D422" s="6" t="inlineStr">
        <is>
          <t>Manufacturing</t>
        </is>
      </c>
      <c r="E422" s="6" t="inlineStr">
        <is>
          <t>500+</t>
        </is>
      </c>
      <c r="F422" s="6" t="n">
        <v>185</v>
      </c>
      <c r="G422" s="6" t="n">
        <v>2259.4</v>
      </c>
      <c r="H422" s="6" t="inlineStr">
        <is>
          <t>Paid Ads</t>
        </is>
      </c>
      <c r="I422" s="6" t="inlineStr">
        <is>
          <t>North America</t>
        </is>
      </c>
      <c r="J422" s="7" t="n">
        <v>44830</v>
      </c>
      <c r="K422" s="6" t="inlineStr">
        <is>
          <t>Yes</t>
        </is>
      </c>
      <c r="L422" s="7" t="n">
        <v>44953</v>
      </c>
      <c r="M422" s="6" t="inlineStr">
        <is>
          <t>Poor Support</t>
        </is>
      </c>
      <c r="N422" s="6" t="n">
        <v>10</v>
      </c>
      <c r="O422" s="6" t="n">
        <v>6</v>
      </c>
      <c r="P422" s="6" t="n">
        <v>29</v>
      </c>
      <c r="Q422" s="6" t="inlineStr">
        <is>
          <t>No</t>
        </is>
      </c>
      <c r="R422" s="6">
        <f>IF(K422="Yes",1,0)</f>
        <v/>
      </c>
      <c r="S422" s="6">
        <f>IF(K422="No",1,0)</f>
        <v/>
      </c>
      <c r="T422" s="6">
        <f>ROUND((IF(L422="",'Subscriptions'!$T$2,L422)-J422)/30.44,1)</f>
        <v/>
      </c>
      <c r="U422" s="6">
        <f>IF(AND(P422&lt;'Subscriptions'!$T$4,O422&lt;='Subscriptions'!$T$5),1,0)</f>
        <v/>
      </c>
    </row>
    <row r="423">
      <c r="A423" s="6" t="inlineStr">
        <is>
          <t>CUST-0422</t>
        </is>
      </c>
      <c r="B423" s="6" t="inlineStr">
        <is>
          <t>Professional</t>
        </is>
      </c>
      <c r="C423" s="6" t="inlineStr">
        <is>
          <t>Monthly</t>
        </is>
      </c>
      <c r="D423" s="6" t="inlineStr">
        <is>
          <t>Consulting</t>
        </is>
      </c>
      <c r="E423" s="6" t="inlineStr">
        <is>
          <t>51-200</t>
        </is>
      </c>
      <c r="F423" s="6" t="n">
        <v>59</v>
      </c>
      <c r="G423" s="6" t="n">
        <v>766.3</v>
      </c>
      <c r="H423" s="6" t="inlineStr">
        <is>
          <t>Social Media</t>
        </is>
      </c>
      <c r="I423" s="6" t="inlineStr">
        <is>
          <t>North America</t>
        </is>
      </c>
      <c r="J423" s="7" t="n">
        <v>45030</v>
      </c>
      <c r="K423" s="6" t="inlineStr">
        <is>
          <t>No</t>
        </is>
      </c>
      <c r="L423" s="7" t="n"/>
      <c r="M423" s="6" t="n"/>
      <c r="N423" s="6" t="n">
        <v>3</v>
      </c>
      <c r="O423" s="6" t="n">
        <v>7</v>
      </c>
      <c r="P423" s="6" t="n">
        <v>92</v>
      </c>
      <c r="Q423" s="6" t="inlineStr">
        <is>
          <t>Yes</t>
        </is>
      </c>
      <c r="R423" s="6">
        <f>IF(K423="Yes",1,0)</f>
        <v/>
      </c>
      <c r="S423" s="6">
        <f>IF(K423="No",1,0)</f>
        <v/>
      </c>
      <c r="T423" s="6">
        <f>ROUND((IF(L423="",'Subscriptions'!$T$2,L423)-J423)/30.44,1)</f>
        <v/>
      </c>
      <c r="U423" s="6">
        <f>IF(AND(P423&lt;'Subscriptions'!$T$4,O423&lt;='Subscriptions'!$T$5),1,0)</f>
        <v/>
      </c>
    </row>
    <row r="424">
      <c r="A424" s="6" t="inlineStr">
        <is>
          <t>CUST-0423</t>
        </is>
      </c>
      <c r="B424" s="6" t="inlineStr">
        <is>
          <t>Starter</t>
        </is>
      </c>
      <c r="C424" s="6" t="inlineStr">
        <is>
          <t>Monthly</t>
        </is>
      </c>
      <c r="D424" s="6" t="inlineStr">
        <is>
          <t>Manufacturing</t>
        </is>
      </c>
      <c r="E424" s="6" t="inlineStr">
        <is>
          <t>11-50</t>
        </is>
      </c>
      <c r="F424" s="6" t="n">
        <v>15</v>
      </c>
      <c r="G424" s="6" t="n">
        <v>89.90000000000001</v>
      </c>
      <c r="H424" s="6" t="inlineStr">
        <is>
          <t>Referral</t>
        </is>
      </c>
      <c r="I424" s="6" t="inlineStr">
        <is>
          <t>Europe</t>
        </is>
      </c>
      <c r="J424" s="7" t="n">
        <v>45228</v>
      </c>
      <c r="K424" s="6" t="inlineStr">
        <is>
          <t>Yes</t>
        </is>
      </c>
      <c r="L424" s="7" t="n">
        <v>45468</v>
      </c>
      <c r="M424" s="6" t="inlineStr">
        <is>
          <t>Price Too High</t>
        </is>
      </c>
      <c r="N424" s="6" t="n">
        <v>4</v>
      </c>
      <c r="O424" s="6" t="n">
        <v>5</v>
      </c>
      <c r="P424" s="6" t="n">
        <v>20</v>
      </c>
      <c r="Q424" s="6" t="inlineStr">
        <is>
          <t>No</t>
        </is>
      </c>
      <c r="R424" s="6">
        <f>IF(K424="Yes",1,0)</f>
        <v/>
      </c>
      <c r="S424" s="6">
        <f>IF(K424="No",1,0)</f>
        <v/>
      </c>
      <c r="T424" s="6">
        <f>ROUND((IF(L424="",'Subscriptions'!$T$2,L424)-J424)/30.44,1)</f>
        <v/>
      </c>
      <c r="U424" s="6">
        <f>IF(AND(P424&lt;'Subscriptions'!$T$4,O424&lt;='Subscriptions'!$T$5),1,0)</f>
        <v/>
      </c>
    </row>
    <row r="425">
      <c r="A425" s="6" t="inlineStr">
        <is>
          <t>CUST-0424</t>
        </is>
      </c>
      <c r="B425" s="6" t="inlineStr">
        <is>
          <t>Starter</t>
        </is>
      </c>
      <c r="C425" s="6" t="inlineStr">
        <is>
          <t>Monthly</t>
        </is>
      </c>
      <c r="D425" s="6" t="inlineStr">
        <is>
          <t>Media</t>
        </is>
      </c>
      <c r="E425" s="6" t="inlineStr">
        <is>
          <t>1-10</t>
        </is>
      </c>
      <c r="F425" s="6" t="n">
        <v>5</v>
      </c>
      <c r="G425" s="6" t="n">
        <v>46.4</v>
      </c>
      <c r="H425" s="6" t="inlineStr">
        <is>
          <t>Referral</t>
        </is>
      </c>
      <c r="I425" s="6" t="inlineStr">
        <is>
          <t>Europe</t>
        </is>
      </c>
      <c r="J425" s="7" t="n">
        <v>45041</v>
      </c>
      <c r="K425" s="6" t="inlineStr">
        <is>
          <t>Yes</t>
        </is>
      </c>
      <c r="L425" s="7" t="n">
        <v>45525</v>
      </c>
      <c r="M425" s="6" t="inlineStr">
        <is>
          <t>Budget Cuts</t>
        </is>
      </c>
      <c r="N425" s="6" t="n">
        <v>11</v>
      </c>
      <c r="O425" s="6" t="n">
        <v>6</v>
      </c>
      <c r="P425" s="6" t="n">
        <v>50</v>
      </c>
      <c r="Q425" s="6" t="inlineStr">
        <is>
          <t>No</t>
        </is>
      </c>
      <c r="R425" s="6">
        <f>IF(K425="Yes",1,0)</f>
        <v/>
      </c>
      <c r="S425" s="6">
        <f>IF(K425="No",1,0)</f>
        <v/>
      </c>
      <c r="T425" s="6">
        <f>ROUND((IF(L425="",'Subscriptions'!$T$2,L425)-J425)/30.44,1)</f>
        <v/>
      </c>
      <c r="U425" s="6">
        <f>IF(AND(P425&lt;'Subscriptions'!$T$4,O425&lt;='Subscriptions'!$T$5),1,0)</f>
        <v/>
      </c>
    </row>
    <row r="426">
      <c r="A426" s="6" t="inlineStr">
        <is>
          <t>CUST-0425</t>
        </is>
      </c>
      <c r="B426" s="6" t="inlineStr">
        <is>
          <t>Starter</t>
        </is>
      </c>
      <c r="C426" s="6" t="inlineStr">
        <is>
          <t>Monthly</t>
        </is>
      </c>
      <c r="D426" s="6" t="inlineStr">
        <is>
          <t>Technology</t>
        </is>
      </c>
      <c r="E426" s="6" t="inlineStr">
        <is>
          <t>1-10</t>
        </is>
      </c>
      <c r="F426" s="6" t="n">
        <v>6</v>
      </c>
      <c r="G426" s="6" t="n">
        <v>50.75</v>
      </c>
      <c r="H426" s="6" t="inlineStr">
        <is>
          <t>Referral</t>
        </is>
      </c>
      <c r="I426" s="6" t="inlineStr">
        <is>
          <t>Asia Pacific</t>
        </is>
      </c>
      <c r="J426" s="7" t="n">
        <v>45731</v>
      </c>
      <c r="K426" s="6" t="inlineStr">
        <is>
          <t>Yes</t>
        </is>
      </c>
      <c r="L426" s="7" t="n">
        <v>45869</v>
      </c>
      <c r="M426" s="6" t="inlineStr">
        <is>
          <t>No Longer Needed</t>
        </is>
      </c>
      <c r="N426" s="6" t="n">
        <v>6</v>
      </c>
      <c r="O426" s="6" t="n">
        <v>2</v>
      </c>
      <c r="P426" s="6" t="n">
        <v>22</v>
      </c>
      <c r="Q426" s="6" t="inlineStr">
        <is>
          <t>No</t>
        </is>
      </c>
      <c r="R426" s="6">
        <f>IF(K426="Yes",1,0)</f>
        <v/>
      </c>
      <c r="S426" s="6">
        <f>IF(K426="No",1,0)</f>
        <v/>
      </c>
      <c r="T426" s="6">
        <f>ROUND((IF(L426="",'Subscriptions'!$T$2,L426)-J426)/30.44,1)</f>
        <v/>
      </c>
      <c r="U426" s="6">
        <f>IF(AND(P426&lt;'Subscriptions'!$T$4,O426&lt;='Subscriptions'!$T$5),1,0)</f>
        <v/>
      </c>
    </row>
    <row r="427">
      <c r="A427" s="6" t="inlineStr">
        <is>
          <t>CUST-0426</t>
        </is>
      </c>
      <c r="B427" s="6" t="inlineStr">
        <is>
          <t>Business</t>
        </is>
      </c>
      <c r="C427" s="6" t="inlineStr">
        <is>
          <t>Monthly</t>
        </is>
      </c>
      <c r="D427" s="6" t="inlineStr">
        <is>
          <t>Education</t>
        </is>
      </c>
      <c r="E427" s="6" t="inlineStr">
        <is>
          <t>1-10</t>
        </is>
      </c>
      <c r="F427" s="6" t="n">
        <v>7</v>
      </c>
      <c r="G427" s="6" t="n">
        <v>378.1</v>
      </c>
      <c r="H427" s="6" t="inlineStr">
        <is>
          <t>Organic Search</t>
        </is>
      </c>
      <c r="I427" s="6" t="inlineStr">
        <is>
          <t>North America</t>
        </is>
      </c>
      <c r="J427" s="7" t="n">
        <v>45357</v>
      </c>
      <c r="K427" s="6" t="inlineStr">
        <is>
          <t>No</t>
        </is>
      </c>
      <c r="L427" s="7" t="n"/>
      <c r="M427" s="6" t="n"/>
      <c r="N427" s="6" t="n">
        <v>10</v>
      </c>
      <c r="O427" s="6" t="n">
        <v>10</v>
      </c>
      <c r="P427" s="6" t="n">
        <v>68</v>
      </c>
      <c r="Q427" s="6" t="inlineStr">
        <is>
          <t>Yes</t>
        </is>
      </c>
      <c r="R427" s="6">
        <f>IF(K427="Yes",1,0)</f>
        <v/>
      </c>
      <c r="S427" s="6">
        <f>IF(K427="No",1,0)</f>
        <v/>
      </c>
      <c r="T427" s="6">
        <f>ROUND((IF(L427="",'Subscriptions'!$T$2,L427)-J427)/30.44,1)</f>
        <v/>
      </c>
      <c r="U427" s="6">
        <f>IF(AND(P427&lt;'Subscriptions'!$T$4,O427&lt;='Subscriptions'!$T$5),1,0)</f>
        <v/>
      </c>
    </row>
    <row r="428">
      <c r="A428" s="6" t="inlineStr">
        <is>
          <t>CUST-0427</t>
        </is>
      </c>
      <c r="B428" s="6" t="inlineStr">
        <is>
          <t>Starter</t>
        </is>
      </c>
      <c r="C428" s="6" t="inlineStr">
        <is>
          <t>Annual</t>
        </is>
      </c>
      <c r="D428" s="6" t="inlineStr">
        <is>
          <t>Real Estate</t>
        </is>
      </c>
      <c r="E428" s="6" t="inlineStr">
        <is>
          <t>51-200</t>
        </is>
      </c>
      <c r="F428" s="6" t="n">
        <v>79</v>
      </c>
      <c r="G428" s="6" t="n">
        <v>313.05</v>
      </c>
      <c r="H428" s="6" t="inlineStr">
        <is>
          <t>Paid Ads</t>
        </is>
      </c>
      <c r="I428" s="6" t="inlineStr">
        <is>
          <t>Latin America</t>
        </is>
      </c>
      <c r="J428" s="7" t="n">
        <v>45651</v>
      </c>
      <c r="K428" s="6" t="inlineStr">
        <is>
          <t>No</t>
        </is>
      </c>
      <c r="L428" s="7" t="n"/>
      <c r="M428" s="6" t="n"/>
      <c r="N428" s="6" t="n">
        <v>6</v>
      </c>
      <c r="O428" s="6" t="n">
        <v>7</v>
      </c>
      <c r="P428" s="6" t="n">
        <v>37</v>
      </c>
      <c r="Q428" s="6" t="inlineStr">
        <is>
          <t>No</t>
        </is>
      </c>
      <c r="R428" s="6">
        <f>IF(K428="Yes",1,0)</f>
        <v/>
      </c>
      <c r="S428" s="6">
        <f>IF(K428="No",1,0)</f>
        <v/>
      </c>
      <c r="T428" s="6">
        <f>ROUND((IF(L428="",'Subscriptions'!$T$2,L428)-J428)/30.44,1)</f>
        <v/>
      </c>
      <c r="U428" s="6">
        <f>IF(AND(P428&lt;'Subscriptions'!$T$4,O428&lt;='Subscriptions'!$T$5),1,0)</f>
        <v/>
      </c>
    </row>
    <row r="429">
      <c r="A429" s="6" t="inlineStr">
        <is>
          <t>CUST-0428</t>
        </is>
      </c>
      <c r="B429" s="6" t="inlineStr">
        <is>
          <t>Starter</t>
        </is>
      </c>
      <c r="C429" s="6" t="inlineStr">
        <is>
          <t>Monthly</t>
        </is>
      </c>
      <c r="D429" s="6" t="inlineStr">
        <is>
          <t>Real Estate</t>
        </is>
      </c>
      <c r="E429" s="6" t="inlineStr">
        <is>
          <t>11-50</t>
        </is>
      </c>
      <c r="F429" s="6" t="n">
        <v>11</v>
      </c>
      <c r="G429" s="6" t="n">
        <v>72.5</v>
      </c>
      <c r="H429" s="6" t="inlineStr">
        <is>
          <t>Organic Search</t>
        </is>
      </c>
      <c r="I429" s="6" t="inlineStr">
        <is>
          <t>North America</t>
        </is>
      </c>
      <c r="J429" s="7" t="n">
        <v>45948</v>
      </c>
      <c r="K429" s="6" t="inlineStr">
        <is>
          <t>No</t>
        </is>
      </c>
      <c r="L429" s="7" t="n"/>
      <c r="M429" s="6" t="n"/>
      <c r="N429" s="6" t="n">
        <v>1</v>
      </c>
      <c r="O429" s="6" t="n">
        <v>4</v>
      </c>
      <c r="P429" s="6" t="n">
        <v>24</v>
      </c>
      <c r="Q429" s="6" t="inlineStr">
        <is>
          <t>No</t>
        </is>
      </c>
      <c r="R429" s="6">
        <f>IF(K429="Yes",1,0)</f>
        <v/>
      </c>
      <c r="S429" s="6">
        <f>IF(K429="No",1,0)</f>
        <v/>
      </c>
      <c r="T429" s="6">
        <f>ROUND((IF(L429="",'Subscriptions'!$T$2,L429)-J429)/30.44,1)</f>
        <v/>
      </c>
      <c r="U429" s="6">
        <f>IF(AND(P429&lt;'Subscriptions'!$T$4,O429&lt;='Subscriptions'!$T$5),1,0)</f>
        <v/>
      </c>
    </row>
    <row r="430">
      <c r="A430" s="6" t="inlineStr">
        <is>
          <t>CUST-0429</t>
        </is>
      </c>
      <c r="B430" s="6" t="inlineStr">
        <is>
          <t>Professional</t>
        </is>
      </c>
      <c r="C430" s="6" t="inlineStr">
        <is>
          <t>Monthly</t>
        </is>
      </c>
      <c r="D430" s="6" t="inlineStr">
        <is>
          <t>Media</t>
        </is>
      </c>
      <c r="E430" s="6" t="inlineStr">
        <is>
          <t>11-50</t>
        </is>
      </c>
      <c r="F430" s="6" t="n">
        <v>15</v>
      </c>
      <c r="G430" s="6" t="n">
        <v>244.9</v>
      </c>
      <c r="H430" s="6" t="inlineStr">
        <is>
          <t>Paid Ads</t>
        </is>
      </c>
      <c r="I430" s="6" t="inlineStr">
        <is>
          <t>Europe</t>
        </is>
      </c>
      <c r="J430" s="7" t="n">
        <v>45817</v>
      </c>
      <c r="K430" s="6" t="inlineStr">
        <is>
          <t>No</t>
        </is>
      </c>
      <c r="L430" s="7" t="n"/>
      <c r="M430" s="6" t="n"/>
      <c r="N430" s="6" t="n">
        <v>8</v>
      </c>
      <c r="O430" s="6" t="n">
        <v>5</v>
      </c>
      <c r="P430" s="6" t="n">
        <v>32</v>
      </c>
      <c r="Q430" s="6" t="inlineStr">
        <is>
          <t>No</t>
        </is>
      </c>
      <c r="R430" s="6">
        <f>IF(K430="Yes",1,0)</f>
        <v/>
      </c>
      <c r="S430" s="6">
        <f>IF(K430="No",1,0)</f>
        <v/>
      </c>
      <c r="T430" s="6">
        <f>ROUND((IF(L430="",'Subscriptions'!$T$2,L430)-J430)/30.44,1)</f>
        <v/>
      </c>
      <c r="U430" s="6">
        <f>IF(AND(P430&lt;'Subscriptions'!$T$4,O430&lt;='Subscriptions'!$T$5),1,0)</f>
        <v/>
      </c>
    </row>
    <row r="431">
      <c r="A431" s="6" t="inlineStr">
        <is>
          <t>CUST-0430</t>
        </is>
      </c>
      <c r="B431" s="6" t="inlineStr">
        <is>
          <t>Business</t>
        </is>
      </c>
      <c r="C431" s="6" t="inlineStr">
        <is>
          <t>Monthly</t>
        </is>
      </c>
      <c r="D431" s="6" t="inlineStr">
        <is>
          <t>Education</t>
        </is>
      </c>
      <c r="E431" s="6" t="inlineStr">
        <is>
          <t>11-50</t>
        </is>
      </c>
      <c r="F431" s="6" t="n">
        <v>20</v>
      </c>
      <c r="G431" s="6" t="n">
        <v>766.15</v>
      </c>
      <c r="H431" s="6" t="inlineStr">
        <is>
          <t>Referral</t>
        </is>
      </c>
      <c r="I431" s="6" t="inlineStr">
        <is>
          <t>Europe</t>
        </is>
      </c>
      <c r="J431" s="7" t="n">
        <v>45966</v>
      </c>
      <c r="K431" s="6" t="inlineStr">
        <is>
          <t>No</t>
        </is>
      </c>
      <c r="L431" s="7" t="n"/>
      <c r="M431" s="6" t="n"/>
      <c r="N431" s="6" t="n">
        <v>2</v>
      </c>
      <c r="O431" s="6" t="n">
        <v>9</v>
      </c>
      <c r="P431" s="6" t="n">
        <v>39</v>
      </c>
      <c r="Q431" s="6" t="inlineStr">
        <is>
          <t>No</t>
        </is>
      </c>
      <c r="R431" s="6">
        <f>IF(K431="Yes",1,0)</f>
        <v/>
      </c>
      <c r="S431" s="6">
        <f>IF(K431="No",1,0)</f>
        <v/>
      </c>
      <c r="T431" s="6">
        <f>ROUND((IF(L431="",'Subscriptions'!$T$2,L431)-J431)/30.44,1)</f>
        <v/>
      </c>
      <c r="U431" s="6">
        <f>IF(AND(P431&lt;'Subscriptions'!$T$4,O431&lt;='Subscriptions'!$T$5),1,0)</f>
        <v/>
      </c>
    </row>
    <row r="432">
      <c r="A432" s="6" t="inlineStr">
        <is>
          <t>CUST-0431</t>
        </is>
      </c>
      <c r="B432" s="6" t="inlineStr">
        <is>
          <t>Starter</t>
        </is>
      </c>
      <c r="C432" s="6" t="inlineStr">
        <is>
          <t>Annual</t>
        </is>
      </c>
      <c r="D432" s="6" t="inlineStr">
        <is>
          <t>Real Estate</t>
        </is>
      </c>
      <c r="E432" s="6" t="inlineStr">
        <is>
          <t>11-50</t>
        </is>
      </c>
      <c r="F432" s="6" t="n">
        <v>27</v>
      </c>
      <c r="G432" s="6" t="n">
        <v>120.78</v>
      </c>
      <c r="H432" s="6" t="inlineStr">
        <is>
          <t>Organic Search</t>
        </is>
      </c>
      <c r="I432" s="6" t="inlineStr">
        <is>
          <t>Asia Pacific</t>
        </is>
      </c>
      <c r="J432" s="7" t="n">
        <v>45933</v>
      </c>
      <c r="K432" s="6" t="inlineStr">
        <is>
          <t>No</t>
        </is>
      </c>
      <c r="L432" s="7" t="n"/>
      <c r="M432" s="6" t="n"/>
      <c r="N432" s="6" t="n">
        <v>3</v>
      </c>
      <c r="O432" s="6" t="n">
        <v>8</v>
      </c>
      <c r="P432" s="6" t="n">
        <v>22</v>
      </c>
      <c r="Q432" s="6" t="inlineStr">
        <is>
          <t>No</t>
        </is>
      </c>
      <c r="R432" s="6">
        <f>IF(K432="Yes",1,0)</f>
        <v/>
      </c>
      <c r="S432" s="6">
        <f>IF(K432="No",1,0)</f>
        <v/>
      </c>
      <c r="T432" s="6">
        <f>ROUND((IF(L432="",'Subscriptions'!$T$2,L432)-J432)/30.44,1)</f>
        <v/>
      </c>
      <c r="U432" s="6">
        <f>IF(AND(P432&lt;'Subscriptions'!$T$4,O432&lt;='Subscriptions'!$T$5),1,0)</f>
        <v/>
      </c>
    </row>
    <row r="433">
      <c r="A433" s="6" t="inlineStr">
        <is>
          <t>CUST-0432</t>
        </is>
      </c>
      <c r="B433" s="6" t="inlineStr">
        <is>
          <t>Professional</t>
        </is>
      </c>
      <c r="C433" s="6" t="inlineStr">
        <is>
          <t>Annual</t>
        </is>
      </c>
      <c r="D433" s="6" t="inlineStr">
        <is>
          <t>Education</t>
        </is>
      </c>
      <c r="E433" s="6" t="inlineStr">
        <is>
          <t>51-200</t>
        </is>
      </c>
      <c r="F433" s="6" t="n">
        <v>28</v>
      </c>
      <c r="G433" s="6" t="n">
        <v>339.11</v>
      </c>
      <c r="H433" s="6" t="inlineStr">
        <is>
          <t>Organic Search</t>
        </is>
      </c>
      <c r="I433" s="6" t="inlineStr">
        <is>
          <t>North America</t>
        </is>
      </c>
      <c r="J433" s="7" t="n">
        <v>45787</v>
      </c>
      <c r="K433" s="6" t="inlineStr">
        <is>
          <t>No</t>
        </is>
      </c>
      <c r="L433" s="7" t="n"/>
      <c r="M433" s="6" t="n"/>
      <c r="N433" s="6" t="n">
        <v>2</v>
      </c>
      <c r="O433" s="6" t="n">
        <v>1</v>
      </c>
      <c r="P433" s="6" t="n">
        <v>51</v>
      </c>
      <c r="Q433" s="6" t="inlineStr">
        <is>
          <t>No</t>
        </is>
      </c>
      <c r="R433" s="6">
        <f>IF(K433="Yes",1,0)</f>
        <v/>
      </c>
      <c r="S433" s="6">
        <f>IF(K433="No",1,0)</f>
        <v/>
      </c>
      <c r="T433" s="6">
        <f>ROUND((IF(L433="",'Subscriptions'!$T$2,L433)-J433)/30.44,1)</f>
        <v/>
      </c>
      <c r="U433" s="6">
        <f>IF(AND(P433&lt;'Subscriptions'!$T$4,O433&lt;='Subscriptions'!$T$5),1,0)</f>
        <v/>
      </c>
    </row>
    <row r="434">
      <c r="A434" s="6" t="inlineStr">
        <is>
          <t>CUST-0433</t>
        </is>
      </c>
      <c r="B434" s="6" t="inlineStr">
        <is>
          <t>Enterprise</t>
        </is>
      </c>
      <c r="C434" s="6" t="inlineStr">
        <is>
          <t>Monthly</t>
        </is>
      </c>
      <c r="D434" s="6" t="inlineStr">
        <is>
          <t>Real Estate</t>
        </is>
      </c>
      <c r="E434" s="6" t="inlineStr">
        <is>
          <t>11-50</t>
        </is>
      </c>
      <c r="F434" s="6" t="n">
        <v>25</v>
      </c>
      <c r="G434" s="6" t="n">
        <v>2295.4</v>
      </c>
      <c r="H434" s="6" t="inlineStr">
        <is>
          <t>Organic Search</t>
        </is>
      </c>
      <c r="I434" s="6" t="inlineStr">
        <is>
          <t>North America</t>
        </is>
      </c>
      <c r="J434" s="7" t="n">
        <v>45151</v>
      </c>
      <c r="K434" s="6" t="inlineStr">
        <is>
          <t>Yes</t>
        </is>
      </c>
      <c r="L434" s="7" t="n">
        <v>45347</v>
      </c>
      <c r="M434" s="6" t="inlineStr">
        <is>
          <t>No Longer Needed</t>
        </is>
      </c>
      <c r="N434" s="6" t="n">
        <v>1</v>
      </c>
      <c r="O434" s="6" t="n">
        <v>1</v>
      </c>
      <c r="P434" s="6" t="n">
        <v>34</v>
      </c>
      <c r="Q434" s="6" t="inlineStr">
        <is>
          <t>No</t>
        </is>
      </c>
      <c r="R434" s="6">
        <f>IF(K434="Yes",1,0)</f>
        <v/>
      </c>
      <c r="S434" s="6">
        <f>IF(K434="No",1,0)</f>
        <v/>
      </c>
      <c r="T434" s="6">
        <f>ROUND((IF(L434="",'Subscriptions'!$T$2,L434)-J434)/30.44,1)</f>
        <v/>
      </c>
      <c r="U434" s="6">
        <f>IF(AND(P434&lt;'Subscriptions'!$T$4,O434&lt;='Subscriptions'!$T$5),1,0)</f>
        <v/>
      </c>
    </row>
    <row r="435">
      <c r="A435" s="6" t="inlineStr">
        <is>
          <t>CUST-0434</t>
        </is>
      </c>
      <c r="B435" s="6" t="inlineStr">
        <is>
          <t>Starter</t>
        </is>
      </c>
      <c r="C435" s="6" t="inlineStr">
        <is>
          <t>Annual</t>
        </is>
      </c>
      <c r="D435" s="6" t="inlineStr">
        <is>
          <t>Real Estate</t>
        </is>
      </c>
      <c r="E435" s="6" t="inlineStr">
        <is>
          <t>500+</t>
        </is>
      </c>
      <c r="F435" s="6" t="n">
        <v>222</v>
      </c>
      <c r="G435" s="6" t="n">
        <v>841.8</v>
      </c>
      <c r="H435" s="6" t="inlineStr">
        <is>
          <t>Referral</t>
        </is>
      </c>
      <c r="I435" s="6" t="inlineStr">
        <is>
          <t>North America</t>
        </is>
      </c>
      <c r="J435" s="7" t="n">
        <v>44851</v>
      </c>
      <c r="K435" s="6" t="inlineStr">
        <is>
          <t>Yes</t>
        </is>
      </c>
      <c r="L435" s="7" t="n">
        <v>45631</v>
      </c>
      <c r="M435" s="6" t="inlineStr">
        <is>
          <t>Poor Support</t>
        </is>
      </c>
      <c r="N435" s="6" t="n">
        <v>8</v>
      </c>
      <c r="O435" s="6" t="n">
        <v>2</v>
      </c>
      <c r="P435" s="6" t="n">
        <v>47</v>
      </c>
      <c r="Q435" s="6" t="inlineStr">
        <is>
          <t>No</t>
        </is>
      </c>
      <c r="R435" s="6">
        <f>IF(K435="Yes",1,0)</f>
        <v/>
      </c>
      <c r="S435" s="6">
        <f>IF(K435="No",1,0)</f>
        <v/>
      </c>
      <c r="T435" s="6">
        <f>ROUND((IF(L435="",'Subscriptions'!$T$2,L435)-J435)/30.44,1)</f>
        <v/>
      </c>
      <c r="U435" s="6">
        <f>IF(AND(P435&lt;'Subscriptions'!$T$4,O435&lt;='Subscriptions'!$T$5),1,0)</f>
        <v/>
      </c>
    </row>
    <row r="436">
      <c r="A436" s="6" t="inlineStr">
        <is>
          <t>CUST-0435</t>
        </is>
      </c>
      <c r="B436" s="6" t="inlineStr">
        <is>
          <t>Starter</t>
        </is>
      </c>
      <c r="C436" s="6" t="inlineStr">
        <is>
          <t>Monthly</t>
        </is>
      </c>
      <c r="D436" s="6" t="inlineStr">
        <is>
          <t>Retail</t>
        </is>
      </c>
      <c r="E436" s="6" t="inlineStr">
        <is>
          <t>1-10</t>
        </is>
      </c>
      <c r="F436" s="6" t="n">
        <v>4</v>
      </c>
      <c r="G436" s="6" t="n">
        <v>42.05</v>
      </c>
      <c r="H436" s="6" t="inlineStr">
        <is>
          <t>Referral</t>
        </is>
      </c>
      <c r="I436" s="6" t="inlineStr">
        <is>
          <t>Latin America</t>
        </is>
      </c>
      <c r="J436" s="7" t="n">
        <v>44966</v>
      </c>
      <c r="K436" s="6" t="inlineStr">
        <is>
          <t>Yes</t>
        </is>
      </c>
      <c r="L436" s="7" t="n">
        <v>45165</v>
      </c>
      <c r="M436" s="6" t="inlineStr">
        <is>
          <t>Poor Support</t>
        </is>
      </c>
      <c r="N436" s="6" t="n">
        <v>5</v>
      </c>
      <c r="O436" s="6" t="n">
        <v>3</v>
      </c>
      <c r="P436" s="6" t="n">
        <v>10</v>
      </c>
      <c r="Q436" s="6" t="inlineStr">
        <is>
          <t>No</t>
        </is>
      </c>
      <c r="R436" s="6">
        <f>IF(K436="Yes",1,0)</f>
        <v/>
      </c>
      <c r="S436" s="6">
        <f>IF(K436="No",1,0)</f>
        <v/>
      </c>
      <c r="T436" s="6">
        <f>ROUND((IF(L436="",'Subscriptions'!$T$2,L436)-J436)/30.44,1)</f>
        <v/>
      </c>
      <c r="U436" s="6">
        <f>IF(AND(P436&lt;'Subscriptions'!$T$4,O436&lt;='Subscriptions'!$T$5),1,0)</f>
        <v/>
      </c>
    </row>
    <row r="437">
      <c r="A437" s="6" t="inlineStr">
        <is>
          <t>CUST-0436</t>
        </is>
      </c>
      <c r="B437" s="6" t="inlineStr">
        <is>
          <t>Business</t>
        </is>
      </c>
      <c r="C437" s="6" t="inlineStr">
        <is>
          <t>Annual</t>
        </is>
      </c>
      <c r="D437" s="6" t="inlineStr">
        <is>
          <t>Finance</t>
        </is>
      </c>
      <c r="E437" s="6" t="inlineStr">
        <is>
          <t>51-200</t>
        </is>
      </c>
      <c r="F437" s="6" t="n">
        <v>48</v>
      </c>
      <c r="G437" s="6" t="n">
        <v>1361.66</v>
      </c>
      <c r="H437" s="6" t="inlineStr">
        <is>
          <t>Paid Ads</t>
        </is>
      </c>
      <c r="I437" s="6" t="inlineStr">
        <is>
          <t>Latin America</t>
        </is>
      </c>
      <c r="J437" s="7" t="n">
        <v>44906</v>
      </c>
      <c r="K437" s="6" t="inlineStr">
        <is>
          <t>Yes</t>
        </is>
      </c>
      <c r="L437" s="7" t="n">
        <v>45600</v>
      </c>
      <c r="M437" s="6" t="inlineStr">
        <is>
          <t>Company Closed</t>
        </is>
      </c>
      <c r="N437" s="6" t="n">
        <v>7</v>
      </c>
      <c r="O437" s="6" t="n">
        <v>1</v>
      </c>
      <c r="P437" s="6" t="n">
        <v>28</v>
      </c>
      <c r="Q437" s="6" t="inlineStr">
        <is>
          <t>No</t>
        </is>
      </c>
      <c r="R437" s="6">
        <f>IF(K437="Yes",1,0)</f>
        <v/>
      </c>
      <c r="S437" s="6">
        <f>IF(K437="No",1,0)</f>
        <v/>
      </c>
      <c r="T437" s="6">
        <f>ROUND((IF(L437="",'Subscriptions'!$T$2,L437)-J437)/30.44,1)</f>
        <v/>
      </c>
      <c r="U437" s="6">
        <f>IF(AND(P437&lt;'Subscriptions'!$T$4,O437&lt;='Subscriptions'!$T$5),1,0)</f>
        <v/>
      </c>
    </row>
    <row r="438">
      <c r="A438" s="6" t="inlineStr">
        <is>
          <t>CUST-0437</t>
        </is>
      </c>
      <c r="B438" s="6" t="inlineStr">
        <is>
          <t>Starter</t>
        </is>
      </c>
      <c r="C438" s="6" t="inlineStr">
        <is>
          <t>Monthly</t>
        </is>
      </c>
      <c r="D438" s="6" t="inlineStr">
        <is>
          <t>Education</t>
        </is>
      </c>
      <c r="E438" s="6" t="inlineStr">
        <is>
          <t>11-50</t>
        </is>
      </c>
      <c r="F438" s="6" t="n">
        <v>6</v>
      </c>
      <c r="G438" s="6" t="n">
        <v>50.75</v>
      </c>
      <c r="H438" s="6" t="inlineStr">
        <is>
          <t>Referral</t>
        </is>
      </c>
      <c r="I438" s="6" t="inlineStr">
        <is>
          <t>Asia Pacific</t>
        </is>
      </c>
      <c r="J438" s="7" t="n">
        <v>45026</v>
      </c>
      <c r="K438" s="6" t="inlineStr">
        <is>
          <t>Yes</t>
        </is>
      </c>
      <c r="L438" s="7" t="n">
        <v>45086</v>
      </c>
      <c r="M438" s="6" t="inlineStr">
        <is>
          <t>Poor Support</t>
        </is>
      </c>
      <c r="N438" s="6" t="n">
        <v>5</v>
      </c>
      <c r="O438" s="6" t="n">
        <v>3</v>
      </c>
      <c r="P438" s="6" t="n">
        <v>18</v>
      </c>
      <c r="Q438" s="6" t="inlineStr">
        <is>
          <t>No</t>
        </is>
      </c>
      <c r="R438" s="6">
        <f>IF(K438="Yes",1,0)</f>
        <v/>
      </c>
      <c r="S438" s="6">
        <f>IF(K438="No",1,0)</f>
        <v/>
      </c>
      <c r="T438" s="6">
        <f>ROUND((IF(L438="",'Subscriptions'!$T$2,L438)-J438)/30.44,1)</f>
        <v/>
      </c>
      <c r="U438" s="6">
        <f>IF(AND(P438&lt;'Subscriptions'!$T$4,O438&lt;='Subscriptions'!$T$5),1,0)</f>
        <v/>
      </c>
    </row>
    <row r="439">
      <c r="A439" s="6" t="inlineStr">
        <is>
          <t>CUST-0438</t>
        </is>
      </c>
      <c r="B439" s="6" t="inlineStr">
        <is>
          <t>Starter</t>
        </is>
      </c>
      <c r="C439" s="6" t="inlineStr">
        <is>
          <t>Annual</t>
        </is>
      </c>
      <c r="D439" s="6" t="inlineStr">
        <is>
          <t>Technology</t>
        </is>
      </c>
      <c r="E439" s="6" t="inlineStr">
        <is>
          <t>51-200</t>
        </is>
      </c>
      <c r="F439" s="6" t="n">
        <v>44</v>
      </c>
      <c r="G439" s="6" t="n">
        <v>183.64</v>
      </c>
      <c r="H439" s="6" t="inlineStr">
        <is>
          <t>Paid Ads</t>
        </is>
      </c>
      <c r="I439" s="6" t="inlineStr">
        <is>
          <t>Europe</t>
        </is>
      </c>
      <c r="J439" s="7" t="n">
        <v>45597</v>
      </c>
      <c r="K439" s="6" t="inlineStr">
        <is>
          <t>Yes</t>
        </is>
      </c>
      <c r="L439" s="7" t="n">
        <v>45599</v>
      </c>
      <c r="M439" s="6" t="inlineStr">
        <is>
          <t>Price Too High</t>
        </is>
      </c>
      <c r="N439" s="6" t="n">
        <v>5</v>
      </c>
      <c r="O439" s="6" t="n">
        <v>6</v>
      </c>
      <c r="P439" s="6" t="n">
        <v>31</v>
      </c>
      <c r="Q439" s="6" t="inlineStr">
        <is>
          <t>No</t>
        </is>
      </c>
      <c r="R439" s="6">
        <f>IF(K439="Yes",1,0)</f>
        <v/>
      </c>
      <c r="S439" s="6">
        <f>IF(K439="No",1,0)</f>
        <v/>
      </c>
      <c r="T439" s="6">
        <f>ROUND((IF(L439="",'Subscriptions'!$T$2,L439)-J439)/30.44,1)</f>
        <v/>
      </c>
      <c r="U439" s="6">
        <f>IF(AND(P439&lt;'Subscriptions'!$T$4,O439&lt;='Subscriptions'!$T$5),1,0)</f>
        <v/>
      </c>
    </row>
    <row r="440">
      <c r="A440" s="6" t="inlineStr">
        <is>
          <t>CUST-0439</t>
        </is>
      </c>
      <c r="B440" s="6" t="inlineStr">
        <is>
          <t>Business</t>
        </is>
      </c>
      <c r="C440" s="6" t="inlineStr">
        <is>
          <t>Monthly</t>
        </is>
      </c>
      <c r="D440" s="6" t="inlineStr">
        <is>
          <t>Consulting</t>
        </is>
      </c>
      <c r="E440" s="6" t="inlineStr">
        <is>
          <t>500+</t>
        </is>
      </c>
      <c r="F440" s="6" t="n">
        <v>62</v>
      </c>
      <c r="G440" s="6" t="n">
        <v>2019.85</v>
      </c>
      <c r="H440" s="6" t="inlineStr">
        <is>
          <t>Direct Sales</t>
        </is>
      </c>
      <c r="I440" s="6" t="inlineStr">
        <is>
          <t>Europe</t>
        </is>
      </c>
      <c r="J440" s="7" t="n">
        <v>45816</v>
      </c>
      <c r="K440" s="6" t="inlineStr">
        <is>
          <t>Yes</t>
        </is>
      </c>
      <c r="L440" s="7" t="n">
        <v>45856</v>
      </c>
      <c r="M440" s="6" t="inlineStr">
        <is>
          <t>Company Closed</t>
        </is>
      </c>
      <c r="N440" s="6" t="n">
        <v>9</v>
      </c>
      <c r="O440" s="6" t="n">
        <v>4</v>
      </c>
      <c r="P440" s="6" t="n">
        <v>34</v>
      </c>
      <c r="Q440" s="6" t="inlineStr">
        <is>
          <t>No</t>
        </is>
      </c>
      <c r="R440" s="6">
        <f>IF(K440="Yes",1,0)</f>
        <v/>
      </c>
      <c r="S440" s="6">
        <f>IF(K440="No",1,0)</f>
        <v/>
      </c>
      <c r="T440" s="6">
        <f>ROUND((IF(L440="",'Subscriptions'!$T$2,L440)-J440)/30.44,1)</f>
        <v/>
      </c>
      <c r="U440" s="6">
        <f>IF(AND(P440&lt;'Subscriptions'!$T$4,O440&lt;='Subscriptions'!$T$5),1,0)</f>
        <v/>
      </c>
    </row>
    <row r="441">
      <c r="A441" s="6" t="inlineStr">
        <is>
          <t>CUST-0440</t>
        </is>
      </c>
      <c r="B441" s="6" t="inlineStr">
        <is>
          <t>Business</t>
        </is>
      </c>
      <c r="C441" s="6" t="inlineStr">
        <is>
          <t>Annual</t>
        </is>
      </c>
      <c r="D441" s="6" t="inlineStr">
        <is>
          <t>Healthcare</t>
        </is>
      </c>
      <c r="E441" s="6" t="inlineStr">
        <is>
          <t>1-10</t>
        </is>
      </c>
      <c r="F441" s="6" t="n">
        <v>8</v>
      </c>
      <c r="G441" s="6" t="n">
        <v>346.76</v>
      </c>
      <c r="H441" s="6" t="inlineStr">
        <is>
          <t>Referral</t>
        </is>
      </c>
      <c r="I441" s="6" t="inlineStr">
        <is>
          <t>Latin America</t>
        </is>
      </c>
      <c r="J441" s="7" t="n">
        <v>45992</v>
      </c>
      <c r="K441" s="6" t="inlineStr">
        <is>
          <t>No</t>
        </is>
      </c>
      <c r="L441" s="7" t="n"/>
      <c r="M441" s="6" t="n"/>
      <c r="N441" s="6" t="n">
        <v>1</v>
      </c>
      <c r="O441" s="6" t="n">
        <v>10</v>
      </c>
      <c r="P441" s="6" t="n">
        <v>50</v>
      </c>
      <c r="Q441" s="6" t="inlineStr">
        <is>
          <t>No</t>
        </is>
      </c>
      <c r="R441" s="6">
        <f>IF(K441="Yes",1,0)</f>
        <v/>
      </c>
      <c r="S441" s="6">
        <f>IF(K441="No",1,0)</f>
        <v/>
      </c>
      <c r="T441" s="6">
        <f>ROUND((IF(L441="",'Subscriptions'!$T$2,L441)-J441)/30.44,1)</f>
        <v/>
      </c>
      <c r="U441" s="6">
        <f>IF(AND(P441&lt;'Subscriptions'!$T$4,O441&lt;='Subscriptions'!$T$5),1,0)</f>
        <v/>
      </c>
    </row>
    <row r="442">
      <c r="A442" s="6" t="inlineStr">
        <is>
          <t>CUST-0441</t>
        </is>
      </c>
      <c r="B442" s="6" t="inlineStr">
        <is>
          <t>Professional</t>
        </is>
      </c>
      <c r="C442" s="6" t="inlineStr">
        <is>
          <t>Annual</t>
        </is>
      </c>
      <c r="D442" s="6" t="inlineStr">
        <is>
          <t>Real Estate</t>
        </is>
      </c>
      <c r="E442" s="6" t="inlineStr">
        <is>
          <t>201-500</t>
        </is>
      </c>
      <c r="F442" s="6" t="n">
        <v>88</v>
      </c>
      <c r="G442" s="6" t="n">
        <v>943.46</v>
      </c>
      <c r="H442" s="6" t="inlineStr">
        <is>
          <t>Paid Ads</t>
        </is>
      </c>
      <c r="I442" s="6" t="inlineStr">
        <is>
          <t>North America</t>
        </is>
      </c>
      <c r="J442" s="7" t="n">
        <v>45151</v>
      </c>
      <c r="K442" s="6" t="inlineStr">
        <is>
          <t>Yes</t>
        </is>
      </c>
      <c r="L442" s="7" t="n">
        <v>45308</v>
      </c>
      <c r="M442" s="6" t="inlineStr">
        <is>
          <t>Switched Competitor</t>
        </is>
      </c>
      <c r="N442" s="6" t="n">
        <v>8</v>
      </c>
      <c r="O442" s="6" t="n">
        <v>4</v>
      </c>
      <c r="P442" s="6" t="n">
        <v>44</v>
      </c>
      <c r="Q442" s="6" t="inlineStr">
        <is>
          <t>No</t>
        </is>
      </c>
      <c r="R442" s="6">
        <f>IF(K442="Yes",1,0)</f>
        <v/>
      </c>
      <c r="S442" s="6">
        <f>IF(K442="No",1,0)</f>
        <v/>
      </c>
      <c r="T442" s="6">
        <f>ROUND((IF(L442="",'Subscriptions'!$T$2,L442)-J442)/30.44,1)</f>
        <v/>
      </c>
      <c r="U442" s="6">
        <f>IF(AND(P442&lt;'Subscriptions'!$T$4,O442&lt;='Subscriptions'!$T$5),1,0)</f>
        <v/>
      </c>
    </row>
    <row r="443">
      <c r="A443" s="6" t="inlineStr">
        <is>
          <t>CUST-0442</t>
        </is>
      </c>
      <c r="B443" s="6" t="inlineStr">
        <is>
          <t>Business</t>
        </is>
      </c>
      <c r="C443" s="6" t="inlineStr">
        <is>
          <t>Annual</t>
        </is>
      </c>
      <c r="D443" s="6" t="inlineStr">
        <is>
          <t>Healthcare</t>
        </is>
      </c>
      <c r="E443" s="6" t="inlineStr">
        <is>
          <t>51-200</t>
        </is>
      </c>
      <c r="F443" s="6" t="n">
        <v>54</v>
      </c>
      <c r="G443" s="6" t="n">
        <v>1513.89</v>
      </c>
      <c r="H443" s="6" t="inlineStr">
        <is>
          <t>Paid Ads</t>
        </is>
      </c>
      <c r="I443" s="6" t="inlineStr">
        <is>
          <t>Asia Pacific</t>
        </is>
      </c>
      <c r="J443" s="7" t="n">
        <v>45387</v>
      </c>
      <c r="K443" s="6" t="inlineStr">
        <is>
          <t>No</t>
        </is>
      </c>
      <c r="L443" s="7" t="n"/>
      <c r="M443" s="6" t="n"/>
      <c r="N443" s="6" t="n">
        <v>10</v>
      </c>
      <c r="O443" s="6" t="n">
        <v>10</v>
      </c>
      <c r="P443" s="6" t="n">
        <v>33</v>
      </c>
      <c r="Q443" s="6" t="inlineStr">
        <is>
          <t>Yes</t>
        </is>
      </c>
      <c r="R443" s="6">
        <f>IF(K443="Yes",1,0)</f>
        <v/>
      </c>
      <c r="S443" s="6">
        <f>IF(K443="No",1,0)</f>
        <v/>
      </c>
      <c r="T443" s="6">
        <f>ROUND((IF(L443="",'Subscriptions'!$T$2,L443)-J443)/30.44,1)</f>
        <v/>
      </c>
      <c r="U443" s="6">
        <f>IF(AND(P443&lt;'Subscriptions'!$T$4,O443&lt;='Subscriptions'!$T$5),1,0)</f>
        <v/>
      </c>
    </row>
    <row r="444">
      <c r="A444" s="6" t="inlineStr">
        <is>
          <t>CUST-0443</t>
        </is>
      </c>
      <c r="B444" s="6" t="inlineStr">
        <is>
          <t>Professional</t>
        </is>
      </c>
      <c r="C444" s="6" t="inlineStr">
        <is>
          <t>Monthly</t>
        </is>
      </c>
      <c r="D444" s="6" t="inlineStr">
        <is>
          <t>Legal</t>
        </is>
      </c>
      <c r="E444" s="6" t="inlineStr">
        <is>
          <t>51-200</t>
        </is>
      </c>
      <c r="F444" s="6" t="n">
        <v>58</v>
      </c>
      <c r="G444" s="6" t="n">
        <v>754.45</v>
      </c>
      <c r="H444" s="6" t="inlineStr">
        <is>
          <t>Organic Search</t>
        </is>
      </c>
      <c r="I444" s="6" t="inlineStr">
        <is>
          <t>North America</t>
        </is>
      </c>
      <c r="J444" s="7" t="n">
        <v>45105</v>
      </c>
      <c r="K444" s="6" t="inlineStr">
        <is>
          <t>No</t>
        </is>
      </c>
      <c r="L444" s="7" t="n"/>
      <c r="M444" s="6" t="n"/>
      <c r="N444" s="6" t="n">
        <v>11</v>
      </c>
      <c r="O444" s="6" t="n">
        <v>5</v>
      </c>
      <c r="P444" s="6" t="n">
        <v>84</v>
      </c>
      <c r="Q444" s="6" t="inlineStr">
        <is>
          <t>No</t>
        </is>
      </c>
      <c r="R444" s="6">
        <f>IF(K444="Yes",1,0)</f>
        <v/>
      </c>
      <c r="S444" s="6">
        <f>IF(K444="No",1,0)</f>
        <v/>
      </c>
      <c r="T444" s="6">
        <f>ROUND((IF(L444="",'Subscriptions'!$T$2,L444)-J444)/30.44,1)</f>
        <v/>
      </c>
      <c r="U444" s="6">
        <f>IF(AND(P444&lt;'Subscriptions'!$T$4,O444&lt;='Subscriptions'!$T$5),1,0)</f>
        <v/>
      </c>
    </row>
    <row r="445">
      <c r="A445" s="6" t="inlineStr">
        <is>
          <t>CUST-0444</t>
        </is>
      </c>
      <c r="B445" s="6" t="inlineStr">
        <is>
          <t>Business</t>
        </is>
      </c>
      <c r="C445" s="6" t="inlineStr">
        <is>
          <t>Monthly</t>
        </is>
      </c>
      <c r="D445" s="6" t="inlineStr">
        <is>
          <t>Education</t>
        </is>
      </c>
      <c r="E445" s="6" t="inlineStr">
        <is>
          <t>1-10</t>
        </is>
      </c>
      <c r="F445" s="6" t="n">
        <v>5</v>
      </c>
      <c r="G445" s="6" t="n">
        <v>318.4</v>
      </c>
      <c r="H445" s="6" t="inlineStr">
        <is>
          <t>Organic Search</t>
        </is>
      </c>
      <c r="I445" s="6" t="inlineStr">
        <is>
          <t>Latin America</t>
        </is>
      </c>
      <c r="J445" s="7" t="n">
        <v>45223</v>
      </c>
      <c r="K445" s="6" t="inlineStr">
        <is>
          <t>No</t>
        </is>
      </c>
      <c r="L445" s="7" t="n"/>
      <c r="M445" s="6" t="n"/>
      <c r="N445" s="6" t="n">
        <v>9</v>
      </c>
      <c r="O445" s="6" t="n">
        <v>9</v>
      </c>
      <c r="P445" s="6" t="n">
        <v>59</v>
      </c>
      <c r="Q445" s="6" t="inlineStr">
        <is>
          <t>Yes</t>
        </is>
      </c>
      <c r="R445" s="6">
        <f>IF(K445="Yes",1,0)</f>
        <v/>
      </c>
      <c r="S445" s="6">
        <f>IF(K445="No",1,0)</f>
        <v/>
      </c>
      <c r="T445" s="6">
        <f>ROUND((IF(L445="",'Subscriptions'!$T$2,L445)-J445)/30.44,1)</f>
        <v/>
      </c>
      <c r="U445" s="6">
        <f>IF(AND(P445&lt;'Subscriptions'!$T$4,O445&lt;='Subscriptions'!$T$5),1,0)</f>
        <v/>
      </c>
    </row>
    <row r="446">
      <c r="A446" s="6" t="inlineStr">
        <is>
          <t>CUST-0445</t>
        </is>
      </c>
      <c r="B446" s="6" t="inlineStr">
        <is>
          <t>Starter</t>
        </is>
      </c>
      <c r="C446" s="6" t="inlineStr">
        <is>
          <t>Monthly</t>
        </is>
      </c>
      <c r="D446" s="6" t="inlineStr">
        <is>
          <t>Real Estate</t>
        </is>
      </c>
      <c r="E446" s="6" t="inlineStr">
        <is>
          <t>500+</t>
        </is>
      </c>
      <c r="F446" s="6" t="n">
        <v>254</v>
      </c>
      <c r="G446" s="6" t="n">
        <v>1129.55</v>
      </c>
      <c r="H446" s="6" t="inlineStr">
        <is>
          <t>Referral</t>
        </is>
      </c>
      <c r="I446" s="6" t="inlineStr">
        <is>
          <t>North America</t>
        </is>
      </c>
      <c r="J446" s="7" t="n">
        <v>45779</v>
      </c>
      <c r="K446" s="6" t="inlineStr">
        <is>
          <t>No</t>
        </is>
      </c>
      <c r="L446" s="7" t="n"/>
      <c r="M446" s="6" t="n"/>
      <c r="N446" s="6" t="n">
        <v>2</v>
      </c>
      <c r="O446" s="6" t="n">
        <v>7</v>
      </c>
      <c r="P446" s="6" t="n">
        <v>42</v>
      </c>
      <c r="Q446" s="6" t="inlineStr">
        <is>
          <t>No</t>
        </is>
      </c>
      <c r="R446" s="6">
        <f>IF(K446="Yes",1,0)</f>
        <v/>
      </c>
      <c r="S446" s="6">
        <f>IF(K446="No",1,0)</f>
        <v/>
      </c>
      <c r="T446" s="6">
        <f>ROUND((IF(L446="",'Subscriptions'!$T$2,L446)-J446)/30.44,1)</f>
        <v/>
      </c>
      <c r="U446" s="6">
        <f>IF(AND(P446&lt;'Subscriptions'!$T$4,O446&lt;='Subscriptions'!$T$5),1,0)</f>
        <v/>
      </c>
    </row>
    <row r="447">
      <c r="A447" s="6" t="inlineStr">
        <is>
          <t>CUST-0446</t>
        </is>
      </c>
      <c r="B447" s="6" t="inlineStr">
        <is>
          <t>Business</t>
        </is>
      </c>
      <c r="C447" s="6" t="inlineStr">
        <is>
          <t>Monthly</t>
        </is>
      </c>
      <c r="D447" s="6" t="inlineStr">
        <is>
          <t>Technology</t>
        </is>
      </c>
      <c r="E447" s="6" t="inlineStr">
        <is>
          <t>51-200</t>
        </is>
      </c>
      <c r="F447" s="6" t="n">
        <v>30</v>
      </c>
      <c r="G447" s="6" t="n">
        <v>1064.65</v>
      </c>
      <c r="H447" s="6" t="inlineStr">
        <is>
          <t>Paid Ads</t>
        </is>
      </c>
      <c r="I447" s="6" t="inlineStr">
        <is>
          <t>Europe</t>
        </is>
      </c>
      <c r="J447" s="7" t="n">
        <v>45072</v>
      </c>
      <c r="K447" s="6" t="inlineStr">
        <is>
          <t>Yes</t>
        </is>
      </c>
      <c r="L447" s="7" t="n">
        <v>45364</v>
      </c>
      <c r="M447" s="6" t="inlineStr">
        <is>
          <t>Price Too High</t>
        </is>
      </c>
      <c r="N447" s="6" t="n">
        <v>10</v>
      </c>
      <c r="O447" s="6" t="n">
        <v>3</v>
      </c>
      <c r="P447" s="6" t="n">
        <v>44</v>
      </c>
      <c r="Q447" s="6" t="inlineStr">
        <is>
          <t>No</t>
        </is>
      </c>
      <c r="R447" s="6">
        <f>IF(K447="Yes",1,0)</f>
        <v/>
      </c>
      <c r="S447" s="6">
        <f>IF(K447="No",1,0)</f>
        <v/>
      </c>
      <c r="T447" s="6">
        <f>ROUND((IF(L447="",'Subscriptions'!$T$2,L447)-J447)/30.44,1)</f>
        <v/>
      </c>
      <c r="U447" s="6">
        <f>IF(AND(P447&lt;'Subscriptions'!$T$4,O447&lt;='Subscriptions'!$T$5),1,0)</f>
        <v/>
      </c>
    </row>
    <row r="448">
      <c r="A448" s="6" t="inlineStr">
        <is>
          <t>CUST-0447</t>
        </is>
      </c>
      <c r="B448" s="6" t="inlineStr">
        <is>
          <t>Starter</t>
        </is>
      </c>
      <c r="C448" s="6" t="inlineStr">
        <is>
          <t>Monthly</t>
        </is>
      </c>
      <c r="D448" s="6" t="inlineStr">
        <is>
          <t>Technology</t>
        </is>
      </c>
      <c r="E448" s="6" t="inlineStr">
        <is>
          <t>1-10</t>
        </is>
      </c>
      <c r="F448" s="6" t="n">
        <v>5</v>
      </c>
      <c r="G448" s="6" t="n">
        <v>46.4</v>
      </c>
      <c r="H448" s="6" t="inlineStr">
        <is>
          <t>Direct Sales</t>
        </is>
      </c>
      <c r="I448" s="6" t="inlineStr">
        <is>
          <t>Asia Pacific</t>
        </is>
      </c>
      <c r="J448" s="7" t="n">
        <v>45216</v>
      </c>
      <c r="K448" s="6" t="inlineStr">
        <is>
          <t>No</t>
        </is>
      </c>
      <c r="L448" s="7" t="n"/>
      <c r="M448" s="6" t="n"/>
      <c r="N448" s="6" t="n">
        <v>0</v>
      </c>
      <c r="O448" s="6" t="n">
        <v>9</v>
      </c>
      <c r="P448" s="6" t="n">
        <v>46</v>
      </c>
      <c r="Q448" s="6" t="inlineStr">
        <is>
          <t>No</t>
        </is>
      </c>
      <c r="R448" s="6">
        <f>IF(K448="Yes",1,0)</f>
        <v/>
      </c>
      <c r="S448" s="6">
        <f>IF(K448="No",1,0)</f>
        <v/>
      </c>
      <c r="T448" s="6">
        <f>ROUND((IF(L448="",'Subscriptions'!$T$2,L448)-J448)/30.44,1)</f>
        <v/>
      </c>
      <c r="U448" s="6">
        <f>IF(AND(P448&lt;'Subscriptions'!$T$4,O448&lt;='Subscriptions'!$T$5),1,0)</f>
        <v/>
      </c>
    </row>
    <row r="449">
      <c r="A449" s="6" t="inlineStr">
        <is>
          <t>CUST-0448</t>
        </is>
      </c>
      <c r="B449" s="6" t="inlineStr">
        <is>
          <t>Business</t>
        </is>
      </c>
      <c r="C449" s="6" t="inlineStr">
        <is>
          <t>Monthly</t>
        </is>
      </c>
      <c r="D449" s="6" t="inlineStr">
        <is>
          <t>Education</t>
        </is>
      </c>
      <c r="E449" s="6" t="inlineStr">
        <is>
          <t>11-50</t>
        </is>
      </c>
      <c r="F449" s="6" t="n">
        <v>31</v>
      </c>
      <c r="G449" s="6" t="n">
        <v>1094.5</v>
      </c>
      <c r="H449" s="6" t="inlineStr">
        <is>
          <t>Paid Ads</t>
        </is>
      </c>
      <c r="I449" s="6" t="inlineStr">
        <is>
          <t>North America</t>
        </is>
      </c>
      <c r="J449" s="7" t="n">
        <v>45658</v>
      </c>
      <c r="K449" s="6" t="inlineStr">
        <is>
          <t>No</t>
        </is>
      </c>
      <c r="L449" s="7" t="n"/>
      <c r="M449" s="6" t="n"/>
      <c r="N449" s="6" t="n">
        <v>1</v>
      </c>
      <c r="O449" s="6" t="n">
        <v>9</v>
      </c>
      <c r="P449" s="6" t="n">
        <v>69</v>
      </c>
      <c r="Q449" s="6" t="inlineStr">
        <is>
          <t>No</t>
        </is>
      </c>
      <c r="R449" s="6">
        <f>IF(K449="Yes",1,0)</f>
        <v/>
      </c>
      <c r="S449" s="6">
        <f>IF(K449="No",1,0)</f>
        <v/>
      </c>
      <c r="T449" s="6">
        <f>ROUND((IF(L449="",'Subscriptions'!$T$2,L449)-J449)/30.44,1)</f>
        <v/>
      </c>
      <c r="U449" s="6">
        <f>IF(AND(P449&lt;'Subscriptions'!$T$4,O449&lt;='Subscriptions'!$T$5),1,0)</f>
        <v/>
      </c>
    </row>
    <row r="450">
      <c r="A450" s="6" t="inlineStr">
        <is>
          <t>CUST-0449</t>
        </is>
      </c>
      <c r="B450" s="6" t="inlineStr">
        <is>
          <t>Business</t>
        </is>
      </c>
      <c r="C450" s="6" t="inlineStr">
        <is>
          <t>Monthly</t>
        </is>
      </c>
      <c r="D450" s="6" t="inlineStr">
        <is>
          <t>Healthcare</t>
        </is>
      </c>
      <c r="E450" s="6" t="inlineStr">
        <is>
          <t>500+</t>
        </is>
      </c>
      <c r="F450" s="6" t="n">
        <v>71</v>
      </c>
      <c r="G450" s="6" t="n">
        <v>2288.5</v>
      </c>
      <c r="H450" s="6" t="inlineStr">
        <is>
          <t>Paid Ads</t>
        </is>
      </c>
      <c r="I450" s="6" t="inlineStr">
        <is>
          <t>Europe</t>
        </is>
      </c>
      <c r="J450" s="7" t="n">
        <v>45334</v>
      </c>
      <c r="K450" s="6" t="inlineStr">
        <is>
          <t>Yes</t>
        </is>
      </c>
      <c r="L450" s="7" t="n">
        <v>45360</v>
      </c>
      <c r="M450" s="6" t="inlineStr">
        <is>
          <t>No Longer Needed</t>
        </is>
      </c>
      <c r="N450" s="6" t="n">
        <v>7</v>
      </c>
      <c r="O450" s="6" t="n">
        <v>2</v>
      </c>
      <c r="P450" s="6" t="n">
        <v>24</v>
      </c>
      <c r="Q450" s="6" t="inlineStr">
        <is>
          <t>No</t>
        </is>
      </c>
      <c r="R450" s="6">
        <f>IF(K450="Yes",1,0)</f>
        <v/>
      </c>
      <c r="S450" s="6">
        <f>IF(K450="No",1,0)</f>
        <v/>
      </c>
      <c r="T450" s="6">
        <f>ROUND((IF(L450="",'Subscriptions'!$T$2,L450)-J450)/30.44,1)</f>
        <v/>
      </c>
      <c r="U450" s="6">
        <f>IF(AND(P450&lt;'Subscriptions'!$T$4,O450&lt;='Subscriptions'!$T$5),1,0)</f>
        <v/>
      </c>
    </row>
    <row r="451">
      <c r="A451" s="6" t="inlineStr">
        <is>
          <t>CUST-0450</t>
        </is>
      </c>
      <c r="B451" s="6" t="inlineStr">
        <is>
          <t>Professional</t>
        </is>
      </c>
      <c r="C451" s="6" t="inlineStr">
        <is>
          <t>Annual</t>
        </is>
      </c>
      <c r="D451" s="6" t="inlineStr">
        <is>
          <t>Retail</t>
        </is>
      </c>
      <c r="E451" s="6" t="inlineStr">
        <is>
          <t>11-50</t>
        </is>
      </c>
      <c r="F451" s="6" t="n">
        <v>8</v>
      </c>
      <c r="G451" s="6" t="n">
        <v>137.66</v>
      </c>
      <c r="H451" s="6" t="inlineStr">
        <is>
          <t>Partner</t>
        </is>
      </c>
      <c r="I451" s="6" t="inlineStr">
        <is>
          <t>North America</t>
        </is>
      </c>
      <c r="J451" s="7" t="n">
        <v>46019</v>
      </c>
      <c r="K451" s="6" t="inlineStr">
        <is>
          <t>No</t>
        </is>
      </c>
      <c r="L451" s="7" t="n"/>
      <c r="M451" s="6" t="n"/>
      <c r="N451" s="6" t="n">
        <v>0</v>
      </c>
      <c r="O451" s="6" t="n">
        <v>8</v>
      </c>
      <c r="P451" s="6" t="n">
        <v>38</v>
      </c>
      <c r="Q451" s="6" t="inlineStr">
        <is>
          <t>No</t>
        </is>
      </c>
      <c r="R451" s="6">
        <f>IF(K451="Yes",1,0)</f>
        <v/>
      </c>
      <c r="S451" s="6">
        <f>IF(K451="No",1,0)</f>
        <v/>
      </c>
      <c r="T451" s="6">
        <f>ROUND((IF(L451="",'Subscriptions'!$T$2,L451)-J451)/30.44,1)</f>
        <v/>
      </c>
      <c r="U451" s="6">
        <f>IF(AND(P451&lt;'Subscriptions'!$T$4,O451&lt;='Subscriptions'!$T$5),1,0)</f>
        <v/>
      </c>
    </row>
    <row r="452">
      <c r="A452" s="6" t="inlineStr">
        <is>
          <t>CUST-0451</t>
        </is>
      </c>
      <c r="B452" s="6" t="inlineStr">
        <is>
          <t>Business</t>
        </is>
      </c>
      <c r="C452" s="6" t="inlineStr">
        <is>
          <t>Monthly</t>
        </is>
      </c>
      <c r="D452" s="6" t="inlineStr">
        <is>
          <t>Legal</t>
        </is>
      </c>
      <c r="E452" s="6" t="inlineStr">
        <is>
          <t>11-50</t>
        </is>
      </c>
      <c r="F452" s="6" t="n">
        <v>27</v>
      </c>
      <c r="G452" s="6" t="n">
        <v>975.1</v>
      </c>
      <c r="H452" s="6" t="inlineStr">
        <is>
          <t>Partner</t>
        </is>
      </c>
      <c r="I452" s="6" t="inlineStr">
        <is>
          <t>North America</t>
        </is>
      </c>
      <c r="J452" s="7" t="n">
        <v>44986</v>
      </c>
      <c r="K452" s="6" t="inlineStr">
        <is>
          <t>No</t>
        </is>
      </c>
      <c r="L452" s="7" t="n"/>
      <c r="M452" s="6" t="n"/>
      <c r="N452" s="6" t="n">
        <v>3</v>
      </c>
      <c r="O452" s="6" t="n">
        <v>4</v>
      </c>
      <c r="P452" s="6" t="n">
        <v>89</v>
      </c>
      <c r="Q452" s="6" t="inlineStr">
        <is>
          <t>No</t>
        </is>
      </c>
      <c r="R452" s="6">
        <f>IF(K452="Yes",1,0)</f>
        <v/>
      </c>
      <c r="S452" s="6">
        <f>IF(K452="No",1,0)</f>
        <v/>
      </c>
      <c r="T452" s="6">
        <f>ROUND((IF(L452="",'Subscriptions'!$T$2,L452)-J452)/30.44,1)</f>
        <v/>
      </c>
      <c r="U452" s="6">
        <f>IF(AND(P452&lt;'Subscriptions'!$T$4,O452&lt;='Subscriptions'!$T$5),1,0)</f>
        <v/>
      </c>
    </row>
    <row r="453">
      <c r="A453" s="6" t="inlineStr">
        <is>
          <t>CUST-0452</t>
        </is>
      </c>
      <c r="B453" s="6" t="inlineStr">
        <is>
          <t>Professional</t>
        </is>
      </c>
      <c r="C453" s="6" t="inlineStr">
        <is>
          <t>Monthly</t>
        </is>
      </c>
      <c r="D453" s="6" t="inlineStr">
        <is>
          <t>Technology</t>
        </is>
      </c>
      <c r="E453" s="6" t="inlineStr">
        <is>
          <t>11-50</t>
        </is>
      </c>
      <c r="F453" s="6" t="n">
        <v>12</v>
      </c>
      <c r="G453" s="6" t="n">
        <v>209.35</v>
      </c>
      <c r="H453" s="6" t="inlineStr">
        <is>
          <t>Paid Ads</t>
        </is>
      </c>
      <c r="I453" s="6" t="inlineStr">
        <is>
          <t>North America</t>
        </is>
      </c>
      <c r="J453" s="7" t="n">
        <v>45821</v>
      </c>
      <c r="K453" s="6" t="inlineStr">
        <is>
          <t>No</t>
        </is>
      </c>
      <c r="L453" s="7" t="n"/>
      <c r="M453" s="6" t="n"/>
      <c r="N453" s="6" t="n">
        <v>2</v>
      </c>
      <c r="O453" s="6" t="n">
        <v>7</v>
      </c>
      <c r="P453" s="6" t="n">
        <v>82</v>
      </c>
      <c r="Q453" s="6" t="inlineStr">
        <is>
          <t>No</t>
        </is>
      </c>
      <c r="R453" s="6">
        <f>IF(K453="Yes",1,0)</f>
        <v/>
      </c>
      <c r="S453" s="6">
        <f>IF(K453="No",1,0)</f>
        <v/>
      </c>
      <c r="T453" s="6">
        <f>ROUND((IF(L453="",'Subscriptions'!$T$2,L453)-J453)/30.44,1)</f>
        <v/>
      </c>
      <c r="U453" s="6">
        <f>IF(AND(P453&lt;'Subscriptions'!$T$4,O453&lt;='Subscriptions'!$T$5),1,0)</f>
        <v/>
      </c>
    </row>
    <row r="454">
      <c r="A454" s="6" t="inlineStr">
        <is>
          <t>CUST-0453</t>
        </is>
      </c>
      <c r="B454" s="6" t="inlineStr">
        <is>
          <t>Starter</t>
        </is>
      </c>
      <c r="C454" s="6" t="inlineStr">
        <is>
          <t>Monthly</t>
        </is>
      </c>
      <c r="D454" s="6" t="inlineStr">
        <is>
          <t>Retail</t>
        </is>
      </c>
      <c r="E454" s="6" t="inlineStr">
        <is>
          <t>1-10</t>
        </is>
      </c>
      <c r="F454" s="6" t="n">
        <v>1</v>
      </c>
      <c r="G454" s="6" t="n">
        <v>29</v>
      </c>
      <c r="H454" s="6" t="inlineStr">
        <is>
          <t>Direct Sales</t>
        </is>
      </c>
      <c r="I454" s="6" t="inlineStr">
        <is>
          <t>Latin America</t>
        </is>
      </c>
      <c r="J454" s="7" t="n">
        <v>45193</v>
      </c>
      <c r="K454" s="6" t="inlineStr">
        <is>
          <t>Yes</t>
        </is>
      </c>
      <c r="L454" s="7" t="n">
        <v>45220</v>
      </c>
      <c r="M454" s="6" t="inlineStr">
        <is>
          <t>Company Closed</t>
        </is>
      </c>
      <c r="N454" s="6" t="n">
        <v>2</v>
      </c>
      <c r="O454" s="6" t="n">
        <v>1</v>
      </c>
      <c r="P454" s="6" t="n">
        <v>27</v>
      </c>
      <c r="Q454" s="6" t="inlineStr">
        <is>
          <t>No</t>
        </is>
      </c>
      <c r="R454" s="6">
        <f>IF(K454="Yes",1,0)</f>
        <v/>
      </c>
      <c r="S454" s="6">
        <f>IF(K454="No",1,0)</f>
        <v/>
      </c>
      <c r="T454" s="6">
        <f>ROUND((IF(L454="",'Subscriptions'!$T$2,L454)-J454)/30.44,1)</f>
        <v/>
      </c>
      <c r="U454" s="6">
        <f>IF(AND(P454&lt;'Subscriptions'!$T$4,O454&lt;='Subscriptions'!$T$5),1,0)</f>
        <v/>
      </c>
    </row>
    <row r="455">
      <c r="A455" s="6" t="inlineStr">
        <is>
          <t>CUST-0454</t>
        </is>
      </c>
      <c r="B455" s="6" t="inlineStr">
        <is>
          <t>Starter</t>
        </is>
      </c>
      <c r="C455" s="6" t="inlineStr">
        <is>
          <t>Monthly</t>
        </is>
      </c>
      <c r="D455" s="6" t="inlineStr">
        <is>
          <t>Media</t>
        </is>
      </c>
      <c r="E455" s="6" t="inlineStr">
        <is>
          <t>1-10</t>
        </is>
      </c>
      <c r="F455" s="6" t="n">
        <v>1</v>
      </c>
      <c r="G455" s="6" t="n">
        <v>29</v>
      </c>
      <c r="H455" s="6" t="inlineStr">
        <is>
          <t>Paid Ads</t>
        </is>
      </c>
      <c r="I455" s="6" t="inlineStr">
        <is>
          <t>Europe</t>
        </is>
      </c>
      <c r="J455" s="7" t="n">
        <v>45847</v>
      </c>
      <c r="K455" s="6" t="inlineStr">
        <is>
          <t>Yes</t>
        </is>
      </c>
      <c r="L455" s="7" t="n">
        <v>45988</v>
      </c>
      <c r="M455" s="6" t="inlineStr">
        <is>
          <t>Budget Cuts</t>
        </is>
      </c>
      <c r="N455" s="6" t="n">
        <v>12</v>
      </c>
      <c r="O455" s="6" t="n">
        <v>3</v>
      </c>
      <c r="P455" s="6" t="n">
        <v>49</v>
      </c>
      <c r="Q455" s="6" t="inlineStr">
        <is>
          <t>No</t>
        </is>
      </c>
      <c r="R455" s="6">
        <f>IF(K455="Yes",1,0)</f>
        <v/>
      </c>
      <c r="S455" s="6">
        <f>IF(K455="No",1,0)</f>
        <v/>
      </c>
      <c r="T455" s="6">
        <f>ROUND((IF(L455="",'Subscriptions'!$T$2,L455)-J455)/30.44,1)</f>
        <v/>
      </c>
      <c r="U455" s="6">
        <f>IF(AND(P455&lt;'Subscriptions'!$T$4,O455&lt;='Subscriptions'!$T$5),1,0)</f>
        <v/>
      </c>
    </row>
    <row r="456">
      <c r="A456" s="6" t="inlineStr">
        <is>
          <t>CUST-0455</t>
        </is>
      </c>
      <c r="B456" s="6" t="inlineStr">
        <is>
          <t>Starter</t>
        </is>
      </c>
      <c r="C456" s="6" t="inlineStr">
        <is>
          <t>Monthly</t>
        </is>
      </c>
      <c r="D456" s="6" t="inlineStr">
        <is>
          <t>Healthcare</t>
        </is>
      </c>
      <c r="E456" s="6" t="inlineStr">
        <is>
          <t>11-50</t>
        </is>
      </c>
      <c r="F456" s="6" t="n">
        <v>8</v>
      </c>
      <c r="G456" s="6" t="n">
        <v>59.45</v>
      </c>
      <c r="H456" s="6" t="inlineStr">
        <is>
          <t>Organic Search</t>
        </is>
      </c>
      <c r="I456" s="6" t="inlineStr">
        <is>
          <t>Europe</t>
        </is>
      </c>
      <c r="J456" s="7" t="n">
        <v>45900</v>
      </c>
      <c r="K456" s="6" t="inlineStr">
        <is>
          <t>No</t>
        </is>
      </c>
      <c r="L456" s="7" t="n"/>
      <c r="M456" s="6" t="n"/>
      <c r="N456" s="6" t="n">
        <v>4</v>
      </c>
      <c r="O456" s="6" t="n">
        <v>7</v>
      </c>
      <c r="P456" s="6" t="n">
        <v>34</v>
      </c>
      <c r="Q456" s="6" t="inlineStr">
        <is>
          <t>No</t>
        </is>
      </c>
      <c r="R456" s="6">
        <f>IF(K456="Yes",1,0)</f>
        <v/>
      </c>
      <c r="S456" s="6">
        <f>IF(K456="No",1,0)</f>
        <v/>
      </c>
      <c r="T456" s="6">
        <f>ROUND((IF(L456="",'Subscriptions'!$T$2,L456)-J456)/30.44,1)</f>
        <v/>
      </c>
      <c r="U456" s="6">
        <f>IF(AND(P456&lt;'Subscriptions'!$T$4,O456&lt;='Subscriptions'!$T$5),1,0)</f>
        <v/>
      </c>
    </row>
    <row r="457">
      <c r="A457" s="6" t="inlineStr">
        <is>
          <t>CUST-0456</t>
        </is>
      </c>
      <c r="B457" s="6" t="inlineStr">
        <is>
          <t>Professional</t>
        </is>
      </c>
      <c r="C457" s="6" t="inlineStr">
        <is>
          <t>Annual</t>
        </is>
      </c>
      <c r="D457" s="6" t="inlineStr">
        <is>
          <t>Education</t>
        </is>
      </c>
      <c r="E457" s="6" t="inlineStr">
        <is>
          <t>1-10</t>
        </is>
      </c>
      <c r="F457" s="6" t="n">
        <v>4</v>
      </c>
      <c r="G457" s="6" t="n">
        <v>97.37</v>
      </c>
      <c r="H457" s="6" t="inlineStr">
        <is>
          <t>Direct Sales</t>
        </is>
      </c>
      <c r="I457" s="6" t="inlineStr">
        <is>
          <t>North America</t>
        </is>
      </c>
      <c r="J457" s="7" t="n">
        <v>45063</v>
      </c>
      <c r="K457" s="6" t="inlineStr">
        <is>
          <t>No</t>
        </is>
      </c>
      <c r="L457" s="7" t="n"/>
      <c r="M457" s="6" t="n"/>
      <c r="N457" s="6" t="n">
        <v>6</v>
      </c>
      <c r="O457" s="6" t="n">
        <v>8</v>
      </c>
      <c r="P457" s="6" t="n">
        <v>53</v>
      </c>
      <c r="Q457" s="6" t="inlineStr">
        <is>
          <t>No</t>
        </is>
      </c>
      <c r="R457" s="6">
        <f>IF(K457="Yes",1,0)</f>
        <v/>
      </c>
      <c r="S457" s="6">
        <f>IF(K457="No",1,0)</f>
        <v/>
      </c>
      <c r="T457" s="6">
        <f>ROUND((IF(L457="",'Subscriptions'!$T$2,L457)-J457)/30.44,1)</f>
        <v/>
      </c>
      <c r="U457" s="6">
        <f>IF(AND(P457&lt;'Subscriptions'!$T$4,O457&lt;='Subscriptions'!$T$5),1,0)</f>
        <v/>
      </c>
    </row>
    <row r="458">
      <c r="A458" s="6" t="inlineStr">
        <is>
          <t>CUST-0457</t>
        </is>
      </c>
      <c r="B458" s="6" t="inlineStr">
        <is>
          <t>Professional</t>
        </is>
      </c>
      <c r="C458" s="6" t="inlineStr">
        <is>
          <t>Annual</t>
        </is>
      </c>
      <c r="D458" s="6" t="inlineStr">
        <is>
          <t>Legal</t>
        </is>
      </c>
      <c r="E458" s="6" t="inlineStr">
        <is>
          <t>51-200</t>
        </is>
      </c>
      <c r="F458" s="6" t="n">
        <v>39</v>
      </c>
      <c r="G458" s="6" t="n">
        <v>449.9</v>
      </c>
      <c r="H458" s="6" t="inlineStr">
        <is>
          <t>Direct Sales</t>
        </is>
      </c>
      <c r="I458" s="6" t="inlineStr">
        <is>
          <t>Asia Pacific</t>
        </is>
      </c>
      <c r="J458" s="7" t="n">
        <v>45380</v>
      </c>
      <c r="K458" s="6" t="inlineStr">
        <is>
          <t>No</t>
        </is>
      </c>
      <c r="L458" s="7" t="n"/>
      <c r="M458" s="6" t="n"/>
      <c r="N458" s="6" t="n">
        <v>0</v>
      </c>
      <c r="O458" s="6" t="n">
        <v>5</v>
      </c>
      <c r="P458" s="6" t="n">
        <v>58</v>
      </c>
      <c r="Q458" s="6" t="inlineStr">
        <is>
          <t>No</t>
        </is>
      </c>
      <c r="R458" s="6">
        <f>IF(K458="Yes",1,0)</f>
        <v/>
      </c>
      <c r="S458" s="6">
        <f>IF(K458="No",1,0)</f>
        <v/>
      </c>
      <c r="T458" s="6">
        <f>ROUND((IF(L458="",'Subscriptions'!$T$2,L458)-J458)/30.44,1)</f>
        <v/>
      </c>
      <c r="U458" s="6">
        <f>IF(AND(P458&lt;'Subscriptions'!$T$4,O458&lt;='Subscriptions'!$T$5),1,0)</f>
        <v/>
      </c>
    </row>
    <row r="459">
      <c r="A459" s="6" t="inlineStr">
        <is>
          <t>CUST-0458</t>
        </is>
      </c>
      <c r="B459" s="6" t="inlineStr">
        <is>
          <t>Business</t>
        </is>
      </c>
      <c r="C459" s="6" t="inlineStr">
        <is>
          <t>Annual</t>
        </is>
      </c>
      <c r="D459" s="6" t="inlineStr">
        <is>
          <t>Manufacturing</t>
        </is>
      </c>
      <c r="E459" s="6" t="inlineStr">
        <is>
          <t>201-500</t>
        </is>
      </c>
      <c r="F459" s="6" t="n">
        <v>73</v>
      </c>
      <c r="G459" s="6" t="n">
        <v>1995.97</v>
      </c>
      <c r="H459" s="6" t="inlineStr">
        <is>
          <t>Referral</t>
        </is>
      </c>
      <c r="I459" s="6" t="inlineStr">
        <is>
          <t>North America</t>
        </is>
      </c>
      <c r="J459" s="7" t="n">
        <v>45749</v>
      </c>
      <c r="K459" s="6" t="inlineStr">
        <is>
          <t>No</t>
        </is>
      </c>
      <c r="L459" s="7" t="n"/>
      <c r="M459" s="6" t="n"/>
      <c r="N459" s="6" t="n">
        <v>12</v>
      </c>
      <c r="O459" s="6" t="n">
        <v>1</v>
      </c>
      <c r="P459" s="6" t="n">
        <v>15</v>
      </c>
      <c r="Q459" s="6" t="inlineStr">
        <is>
          <t>Yes</t>
        </is>
      </c>
      <c r="R459" s="6">
        <f>IF(K459="Yes",1,0)</f>
        <v/>
      </c>
      <c r="S459" s="6">
        <f>IF(K459="No",1,0)</f>
        <v/>
      </c>
      <c r="T459" s="6">
        <f>ROUND((IF(L459="",'Subscriptions'!$T$2,L459)-J459)/30.44,1)</f>
        <v/>
      </c>
      <c r="U459" s="6">
        <f>IF(AND(P459&lt;'Subscriptions'!$T$4,O459&lt;='Subscriptions'!$T$5),1,0)</f>
        <v/>
      </c>
    </row>
    <row r="460">
      <c r="A460" s="6" t="inlineStr">
        <is>
          <t>CUST-0459</t>
        </is>
      </c>
      <c r="B460" s="6" t="inlineStr">
        <is>
          <t>Professional</t>
        </is>
      </c>
      <c r="C460" s="6" t="inlineStr">
        <is>
          <t>Monthly</t>
        </is>
      </c>
      <c r="D460" s="6" t="inlineStr">
        <is>
          <t>Real Estate</t>
        </is>
      </c>
      <c r="E460" s="6" t="inlineStr">
        <is>
          <t>11-50</t>
        </is>
      </c>
      <c r="F460" s="6" t="n">
        <v>7</v>
      </c>
      <c r="G460" s="6" t="n">
        <v>150.1</v>
      </c>
      <c r="H460" s="6" t="inlineStr">
        <is>
          <t>Partner</t>
        </is>
      </c>
      <c r="I460" s="6" t="inlineStr">
        <is>
          <t>North America</t>
        </is>
      </c>
      <c r="J460" s="7" t="n">
        <v>44915</v>
      </c>
      <c r="K460" s="6" t="inlineStr">
        <is>
          <t>Yes</t>
        </is>
      </c>
      <c r="L460" s="7" t="n">
        <v>45232</v>
      </c>
      <c r="M460" s="6" t="inlineStr">
        <is>
          <t>Missing Features</t>
        </is>
      </c>
      <c r="N460" s="6" t="n">
        <v>5</v>
      </c>
      <c r="O460" s="6" t="n">
        <v>2</v>
      </c>
      <c r="P460" s="6" t="n">
        <v>12</v>
      </c>
      <c r="Q460" s="6" t="inlineStr">
        <is>
          <t>No</t>
        </is>
      </c>
      <c r="R460" s="6">
        <f>IF(K460="Yes",1,0)</f>
        <v/>
      </c>
      <c r="S460" s="6">
        <f>IF(K460="No",1,0)</f>
        <v/>
      </c>
      <c r="T460" s="6">
        <f>ROUND((IF(L460="",'Subscriptions'!$T$2,L460)-J460)/30.44,1)</f>
        <v/>
      </c>
      <c r="U460" s="6">
        <f>IF(AND(P460&lt;'Subscriptions'!$T$4,O460&lt;='Subscriptions'!$T$5),1,0)</f>
        <v/>
      </c>
    </row>
    <row r="461">
      <c r="A461" s="6" t="inlineStr">
        <is>
          <t>CUST-0460</t>
        </is>
      </c>
      <c r="B461" s="6" t="inlineStr">
        <is>
          <t>Business</t>
        </is>
      </c>
      <c r="C461" s="6" t="inlineStr">
        <is>
          <t>Annual</t>
        </is>
      </c>
      <c r="D461" s="6" t="inlineStr">
        <is>
          <t>Finance</t>
        </is>
      </c>
      <c r="E461" s="6" t="inlineStr">
        <is>
          <t>11-50</t>
        </is>
      </c>
      <c r="F461" s="6" t="n">
        <v>33</v>
      </c>
      <c r="G461" s="6" t="n">
        <v>981.0700000000001</v>
      </c>
      <c r="H461" s="6" t="inlineStr">
        <is>
          <t>Partner</t>
        </is>
      </c>
      <c r="I461" s="6" t="inlineStr">
        <is>
          <t>Asia Pacific</t>
        </is>
      </c>
      <c r="J461" s="7" t="n">
        <v>44964</v>
      </c>
      <c r="K461" s="6" t="inlineStr">
        <is>
          <t>No</t>
        </is>
      </c>
      <c r="L461" s="7" t="n"/>
      <c r="M461" s="6" t="n"/>
      <c r="N461" s="6" t="n">
        <v>1</v>
      </c>
      <c r="O461" s="6" t="n">
        <v>8</v>
      </c>
      <c r="P461" s="6" t="n">
        <v>89</v>
      </c>
      <c r="Q461" s="6" t="inlineStr">
        <is>
          <t>No</t>
        </is>
      </c>
      <c r="R461" s="6">
        <f>IF(K461="Yes",1,0)</f>
        <v/>
      </c>
      <c r="S461" s="6">
        <f>IF(K461="No",1,0)</f>
        <v/>
      </c>
      <c r="T461" s="6">
        <f>ROUND((IF(L461="",'Subscriptions'!$T$2,L461)-J461)/30.44,1)</f>
        <v/>
      </c>
      <c r="U461" s="6">
        <f>IF(AND(P461&lt;'Subscriptions'!$T$4,O461&lt;='Subscriptions'!$T$5),1,0)</f>
        <v/>
      </c>
    </row>
    <row r="462">
      <c r="A462" s="6" t="inlineStr">
        <is>
          <t>CUST-0461</t>
        </is>
      </c>
      <c r="B462" s="6" t="inlineStr">
        <is>
          <t>Starter</t>
        </is>
      </c>
      <c r="C462" s="6" t="inlineStr">
        <is>
          <t>Monthly</t>
        </is>
      </c>
      <c r="D462" s="6" t="inlineStr">
        <is>
          <t>Education</t>
        </is>
      </c>
      <c r="E462" s="6" t="inlineStr">
        <is>
          <t>1-10</t>
        </is>
      </c>
      <c r="F462" s="6" t="n">
        <v>3</v>
      </c>
      <c r="G462" s="6" t="n">
        <v>37.7</v>
      </c>
      <c r="H462" s="6" t="inlineStr">
        <is>
          <t>Partner</t>
        </is>
      </c>
      <c r="I462" s="6" t="inlineStr">
        <is>
          <t>Europe</t>
        </is>
      </c>
      <c r="J462" s="7" t="n">
        <v>45660</v>
      </c>
      <c r="K462" s="6" t="inlineStr">
        <is>
          <t>No</t>
        </is>
      </c>
      <c r="L462" s="7" t="n"/>
      <c r="M462" s="6" t="n"/>
      <c r="N462" s="6" t="n">
        <v>10</v>
      </c>
      <c r="O462" s="6" t="n">
        <v>7</v>
      </c>
      <c r="P462" s="6" t="n">
        <v>60</v>
      </c>
      <c r="Q462" s="6" t="inlineStr">
        <is>
          <t>No</t>
        </is>
      </c>
      <c r="R462" s="6">
        <f>IF(K462="Yes",1,0)</f>
        <v/>
      </c>
      <c r="S462" s="6">
        <f>IF(K462="No",1,0)</f>
        <v/>
      </c>
      <c r="T462" s="6">
        <f>ROUND((IF(L462="",'Subscriptions'!$T$2,L462)-J462)/30.44,1)</f>
        <v/>
      </c>
      <c r="U462" s="6">
        <f>IF(AND(P462&lt;'Subscriptions'!$T$4,O462&lt;='Subscriptions'!$T$5),1,0)</f>
        <v/>
      </c>
    </row>
    <row r="463">
      <c r="A463" s="6" t="inlineStr">
        <is>
          <t>CUST-0462</t>
        </is>
      </c>
      <c r="B463" s="6" t="inlineStr">
        <is>
          <t>Professional</t>
        </is>
      </c>
      <c r="C463" s="6" t="inlineStr">
        <is>
          <t>Annual</t>
        </is>
      </c>
      <c r="D463" s="6" t="inlineStr">
        <is>
          <t>Education</t>
        </is>
      </c>
      <c r="E463" s="6" t="inlineStr">
        <is>
          <t>1-10</t>
        </is>
      </c>
      <c r="F463" s="6" t="n">
        <v>5</v>
      </c>
      <c r="G463" s="6" t="n">
        <v>107.44</v>
      </c>
      <c r="H463" s="6" t="inlineStr">
        <is>
          <t>Direct Sales</t>
        </is>
      </c>
      <c r="I463" s="6" t="inlineStr">
        <is>
          <t>Europe</t>
        </is>
      </c>
      <c r="J463" s="7" t="n">
        <v>45817</v>
      </c>
      <c r="K463" s="6" t="inlineStr">
        <is>
          <t>No</t>
        </is>
      </c>
      <c r="L463" s="7" t="n"/>
      <c r="M463" s="6" t="n"/>
      <c r="N463" s="6" t="n">
        <v>2</v>
      </c>
      <c r="O463" s="6" t="n">
        <v>9</v>
      </c>
      <c r="P463" s="6" t="n">
        <v>82</v>
      </c>
      <c r="Q463" s="6" t="inlineStr">
        <is>
          <t>No</t>
        </is>
      </c>
      <c r="R463" s="6">
        <f>IF(K463="Yes",1,0)</f>
        <v/>
      </c>
      <c r="S463" s="6">
        <f>IF(K463="No",1,0)</f>
        <v/>
      </c>
      <c r="T463" s="6">
        <f>ROUND((IF(L463="",'Subscriptions'!$T$2,L463)-J463)/30.44,1)</f>
        <v/>
      </c>
      <c r="U463" s="6">
        <f>IF(AND(P463&lt;'Subscriptions'!$T$4,O463&lt;='Subscriptions'!$T$5),1,0)</f>
        <v/>
      </c>
    </row>
    <row r="464">
      <c r="A464" s="6" t="inlineStr">
        <is>
          <t>CUST-0463</t>
        </is>
      </c>
      <c r="B464" s="6" t="inlineStr">
        <is>
          <t>Professional</t>
        </is>
      </c>
      <c r="C464" s="6" t="inlineStr">
        <is>
          <t>Monthly</t>
        </is>
      </c>
      <c r="D464" s="6" t="inlineStr">
        <is>
          <t>Education</t>
        </is>
      </c>
      <c r="E464" s="6" t="inlineStr">
        <is>
          <t>11-50</t>
        </is>
      </c>
      <c r="F464" s="6" t="n">
        <v>5</v>
      </c>
      <c r="G464" s="6" t="n">
        <v>126.4</v>
      </c>
      <c r="H464" s="6" t="inlineStr">
        <is>
          <t>Social Media</t>
        </is>
      </c>
      <c r="I464" s="6" t="inlineStr">
        <is>
          <t>North America</t>
        </is>
      </c>
      <c r="J464" s="7" t="n">
        <v>44748</v>
      </c>
      <c r="K464" s="6" t="inlineStr">
        <is>
          <t>Yes</t>
        </is>
      </c>
      <c r="L464" s="7" t="n">
        <v>44842</v>
      </c>
      <c r="M464" s="6" t="inlineStr">
        <is>
          <t>No Longer Needed</t>
        </is>
      </c>
      <c r="N464" s="6" t="n">
        <v>1</v>
      </c>
      <c r="O464" s="6" t="n">
        <v>2</v>
      </c>
      <c r="P464" s="6" t="n">
        <v>17</v>
      </c>
      <c r="Q464" s="6" t="inlineStr">
        <is>
          <t>No</t>
        </is>
      </c>
      <c r="R464" s="6">
        <f>IF(K464="Yes",1,0)</f>
        <v/>
      </c>
      <c r="S464" s="6">
        <f>IF(K464="No",1,0)</f>
        <v/>
      </c>
      <c r="T464" s="6">
        <f>ROUND((IF(L464="",'Subscriptions'!$T$2,L464)-J464)/30.44,1)</f>
        <v/>
      </c>
      <c r="U464" s="6">
        <f>IF(AND(P464&lt;'Subscriptions'!$T$4,O464&lt;='Subscriptions'!$T$5),1,0)</f>
        <v/>
      </c>
    </row>
    <row r="465">
      <c r="A465" s="6" t="inlineStr">
        <is>
          <t>CUST-0464</t>
        </is>
      </c>
      <c r="B465" s="6" t="inlineStr">
        <is>
          <t>Starter</t>
        </is>
      </c>
      <c r="C465" s="6" t="inlineStr">
        <is>
          <t>Annual</t>
        </is>
      </c>
      <c r="D465" s="6" t="inlineStr">
        <is>
          <t>Real Estate</t>
        </is>
      </c>
      <c r="E465" s="6" t="inlineStr">
        <is>
          <t>51-200</t>
        </is>
      </c>
      <c r="F465" s="6" t="n">
        <v>59</v>
      </c>
      <c r="G465" s="6" t="n">
        <v>239.1</v>
      </c>
      <c r="H465" s="6" t="inlineStr">
        <is>
          <t>Paid Ads</t>
        </is>
      </c>
      <c r="I465" s="6" t="inlineStr">
        <is>
          <t>North America</t>
        </is>
      </c>
      <c r="J465" s="7" t="n">
        <v>45948</v>
      </c>
      <c r="K465" s="6" t="inlineStr">
        <is>
          <t>No</t>
        </is>
      </c>
      <c r="L465" s="7" t="n"/>
      <c r="M465" s="6" t="n"/>
      <c r="N465" s="6" t="n">
        <v>12</v>
      </c>
      <c r="O465" s="6" t="n">
        <v>9</v>
      </c>
      <c r="P465" s="6" t="n">
        <v>72</v>
      </c>
      <c r="Q465" s="6" t="inlineStr">
        <is>
          <t>No</t>
        </is>
      </c>
      <c r="R465" s="6">
        <f>IF(K465="Yes",1,0)</f>
        <v/>
      </c>
      <c r="S465" s="6">
        <f>IF(K465="No",1,0)</f>
        <v/>
      </c>
      <c r="T465" s="6">
        <f>ROUND((IF(L465="",'Subscriptions'!$T$2,L465)-J465)/30.44,1)</f>
        <v/>
      </c>
      <c r="U465" s="6">
        <f>IF(AND(P465&lt;'Subscriptions'!$T$4,O465&lt;='Subscriptions'!$T$5),1,0)</f>
        <v/>
      </c>
    </row>
    <row r="466">
      <c r="A466" s="6" t="inlineStr">
        <is>
          <t>CUST-0465</t>
        </is>
      </c>
      <c r="B466" s="6" t="inlineStr">
        <is>
          <t>Professional</t>
        </is>
      </c>
      <c r="C466" s="6" t="inlineStr">
        <is>
          <t>Monthly</t>
        </is>
      </c>
      <c r="D466" s="6" t="inlineStr">
        <is>
          <t>Education</t>
        </is>
      </c>
      <c r="E466" s="6" t="inlineStr">
        <is>
          <t>1-10</t>
        </is>
      </c>
      <c r="F466" s="6" t="n">
        <v>1</v>
      </c>
      <c r="G466" s="6" t="n">
        <v>79</v>
      </c>
      <c r="H466" s="6" t="inlineStr">
        <is>
          <t>Direct Sales</t>
        </is>
      </c>
      <c r="I466" s="6" t="inlineStr">
        <is>
          <t>Europe</t>
        </is>
      </c>
      <c r="J466" s="7" t="n">
        <v>46015</v>
      </c>
      <c r="K466" s="6" t="inlineStr">
        <is>
          <t>No</t>
        </is>
      </c>
      <c r="L466" s="7" t="n"/>
      <c r="M466" s="6" t="n"/>
      <c r="N466" s="6" t="n">
        <v>11</v>
      </c>
      <c r="O466" s="6" t="n">
        <v>5</v>
      </c>
      <c r="P466" s="6" t="n">
        <v>84</v>
      </c>
      <c r="Q466" s="6" t="inlineStr">
        <is>
          <t>No</t>
        </is>
      </c>
      <c r="R466" s="6">
        <f>IF(K466="Yes",1,0)</f>
        <v/>
      </c>
      <c r="S466" s="6">
        <f>IF(K466="No",1,0)</f>
        <v/>
      </c>
      <c r="T466" s="6">
        <f>ROUND((IF(L466="",'Subscriptions'!$T$2,L466)-J466)/30.44,1)</f>
        <v/>
      </c>
      <c r="U466" s="6">
        <f>IF(AND(P466&lt;'Subscriptions'!$T$4,O466&lt;='Subscriptions'!$T$5),1,0)</f>
        <v/>
      </c>
    </row>
    <row r="467">
      <c r="A467" s="6" t="inlineStr">
        <is>
          <t>CUST-0466</t>
        </is>
      </c>
      <c r="B467" s="6" t="inlineStr">
        <is>
          <t>Business</t>
        </is>
      </c>
      <c r="C467" s="6" t="inlineStr">
        <is>
          <t>Annual</t>
        </is>
      </c>
      <c r="D467" s="6" t="inlineStr">
        <is>
          <t>Finance</t>
        </is>
      </c>
      <c r="E467" s="6" t="inlineStr">
        <is>
          <t>51-200</t>
        </is>
      </c>
      <c r="F467" s="6" t="n">
        <v>35</v>
      </c>
      <c r="G467" s="6" t="n">
        <v>1031.82</v>
      </c>
      <c r="H467" s="6" t="inlineStr">
        <is>
          <t>Paid Ads</t>
        </is>
      </c>
      <c r="I467" s="6" t="inlineStr">
        <is>
          <t>Europe</t>
        </is>
      </c>
      <c r="J467" s="7" t="n">
        <v>45409</v>
      </c>
      <c r="K467" s="6" t="inlineStr">
        <is>
          <t>No</t>
        </is>
      </c>
      <c r="L467" s="7" t="n"/>
      <c r="M467" s="6" t="n"/>
      <c r="N467" s="6" t="n">
        <v>4</v>
      </c>
      <c r="O467" s="6" t="n">
        <v>8</v>
      </c>
      <c r="P467" s="6" t="n">
        <v>41</v>
      </c>
      <c r="Q467" s="6" t="inlineStr">
        <is>
          <t>No</t>
        </is>
      </c>
      <c r="R467" s="6">
        <f>IF(K467="Yes",1,0)</f>
        <v/>
      </c>
      <c r="S467" s="6">
        <f>IF(K467="No",1,0)</f>
        <v/>
      </c>
      <c r="T467" s="6">
        <f>ROUND((IF(L467="",'Subscriptions'!$T$2,L467)-J467)/30.44,1)</f>
        <v/>
      </c>
      <c r="U467" s="6">
        <f>IF(AND(P467&lt;'Subscriptions'!$T$4,O467&lt;='Subscriptions'!$T$5),1,0)</f>
        <v/>
      </c>
    </row>
    <row r="468">
      <c r="A468" s="6" t="inlineStr">
        <is>
          <t>CUST-0467</t>
        </is>
      </c>
      <c r="B468" s="6" t="inlineStr">
        <is>
          <t>Starter</t>
        </is>
      </c>
      <c r="C468" s="6" t="inlineStr">
        <is>
          <t>Annual</t>
        </is>
      </c>
      <c r="D468" s="6" t="inlineStr">
        <is>
          <t>Healthcare</t>
        </is>
      </c>
      <c r="E468" s="6" t="inlineStr">
        <is>
          <t>201-500</t>
        </is>
      </c>
      <c r="F468" s="6" t="n">
        <v>112</v>
      </c>
      <c r="G468" s="6" t="n">
        <v>435.07</v>
      </c>
      <c r="H468" s="6" t="inlineStr">
        <is>
          <t>Referral</t>
        </is>
      </c>
      <c r="I468" s="6" t="inlineStr">
        <is>
          <t>Latin America</t>
        </is>
      </c>
      <c r="J468" s="7" t="n">
        <v>44861</v>
      </c>
      <c r="K468" s="6" t="inlineStr">
        <is>
          <t>Yes</t>
        </is>
      </c>
      <c r="L468" s="7" t="n">
        <v>45096</v>
      </c>
      <c r="M468" s="6" t="inlineStr">
        <is>
          <t>Switched Competitor</t>
        </is>
      </c>
      <c r="N468" s="6" t="n">
        <v>12</v>
      </c>
      <c r="O468" s="6" t="n">
        <v>1</v>
      </c>
      <c r="P468" s="6" t="n">
        <v>34</v>
      </c>
      <c r="Q468" s="6" t="inlineStr">
        <is>
          <t>No</t>
        </is>
      </c>
      <c r="R468" s="6">
        <f>IF(K468="Yes",1,0)</f>
        <v/>
      </c>
      <c r="S468" s="6">
        <f>IF(K468="No",1,0)</f>
        <v/>
      </c>
      <c r="T468" s="6">
        <f>ROUND((IF(L468="",'Subscriptions'!$T$2,L468)-J468)/30.44,1)</f>
        <v/>
      </c>
      <c r="U468" s="6">
        <f>IF(AND(P468&lt;'Subscriptions'!$T$4,O468&lt;='Subscriptions'!$T$5),1,0)</f>
        <v/>
      </c>
    </row>
    <row r="469">
      <c r="A469" s="6" t="inlineStr">
        <is>
          <t>CUST-0468</t>
        </is>
      </c>
      <c r="B469" s="6" t="inlineStr">
        <is>
          <t>Enterprise</t>
        </is>
      </c>
      <c r="C469" s="6" t="inlineStr">
        <is>
          <t>Annual</t>
        </is>
      </c>
      <c r="D469" s="6" t="inlineStr">
        <is>
          <t>Technology</t>
        </is>
      </c>
      <c r="E469" s="6" t="inlineStr">
        <is>
          <t>11-50</t>
        </is>
      </c>
      <c r="F469" s="6" t="n">
        <v>10</v>
      </c>
      <c r="G469" s="6" t="n">
        <v>996.75</v>
      </c>
      <c r="H469" s="6" t="inlineStr">
        <is>
          <t>Referral</t>
        </is>
      </c>
      <c r="I469" s="6" t="inlineStr">
        <is>
          <t>North America</t>
        </is>
      </c>
      <c r="J469" s="7" t="n">
        <v>45424</v>
      </c>
      <c r="K469" s="6" t="inlineStr">
        <is>
          <t>No</t>
        </is>
      </c>
      <c r="L469" s="7" t="n"/>
      <c r="M469" s="6" t="n"/>
      <c r="N469" s="6" t="n">
        <v>3</v>
      </c>
      <c r="O469" s="6" t="n">
        <v>1</v>
      </c>
      <c r="P469" s="6" t="n">
        <v>64</v>
      </c>
      <c r="Q469" s="6" t="inlineStr">
        <is>
          <t>No</t>
        </is>
      </c>
      <c r="R469" s="6">
        <f>IF(K469="Yes",1,0)</f>
        <v/>
      </c>
      <c r="S469" s="6">
        <f>IF(K469="No",1,0)</f>
        <v/>
      </c>
      <c r="T469" s="6">
        <f>ROUND((IF(L469="",'Subscriptions'!$T$2,L469)-J469)/30.44,1)</f>
        <v/>
      </c>
      <c r="U469" s="6">
        <f>IF(AND(P469&lt;'Subscriptions'!$T$4,O469&lt;='Subscriptions'!$T$5),1,0)</f>
        <v/>
      </c>
    </row>
    <row r="470">
      <c r="A470" s="6" t="inlineStr">
        <is>
          <t>CUST-0469</t>
        </is>
      </c>
      <c r="B470" s="6" t="inlineStr">
        <is>
          <t>Business</t>
        </is>
      </c>
      <c r="C470" s="6" t="inlineStr">
        <is>
          <t>Annual</t>
        </is>
      </c>
      <c r="D470" s="6" t="inlineStr">
        <is>
          <t>Media</t>
        </is>
      </c>
      <c r="E470" s="6" t="inlineStr">
        <is>
          <t>1-10</t>
        </is>
      </c>
      <c r="F470" s="6" t="n">
        <v>3</v>
      </c>
      <c r="G470" s="6" t="n">
        <v>219.9</v>
      </c>
      <c r="H470" s="6" t="inlineStr">
        <is>
          <t>Paid Ads</t>
        </is>
      </c>
      <c r="I470" s="6" t="inlineStr">
        <is>
          <t>Europe</t>
        </is>
      </c>
      <c r="J470" s="7" t="n">
        <v>46010</v>
      </c>
      <c r="K470" s="6" t="inlineStr">
        <is>
          <t>No</t>
        </is>
      </c>
      <c r="L470" s="7" t="n"/>
      <c r="M470" s="6" t="n"/>
      <c r="N470" s="6" t="n">
        <v>8</v>
      </c>
      <c r="O470" s="6" t="n">
        <v>2</v>
      </c>
      <c r="P470" s="6" t="n">
        <v>45</v>
      </c>
      <c r="Q470" s="6" t="inlineStr">
        <is>
          <t>No</t>
        </is>
      </c>
      <c r="R470" s="6">
        <f>IF(K470="Yes",1,0)</f>
        <v/>
      </c>
      <c r="S470" s="6">
        <f>IF(K470="No",1,0)</f>
        <v/>
      </c>
      <c r="T470" s="6">
        <f>ROUND((IF(L470="",'Subscriptions'!$T$2,L470)-J470)/30.44,1)</f>
        <v/>
      </c>
      <c r="U470" s="6">
        <f>IF(AND(P470&lt;'Subscriptions'!$T$4,O470&lt;='Subscriptions'!$T$5),1,0)</f>
        <v/>
      </c>
    </row>
    <row r="471">
      <c r="A471" s="6" t="inlineStr">
        <is>
          <t>CUST-0470</t>
        </is>
      </c>
      <c r="B471" s="6" t="inlineStr">
        <is>
          <t>Professional</t>
        </is>
      </c>
      <c r="C471" s="6" t="inlineStr">
        <is>
          <t>Monthly</t>
        </is>
      </c>
      <c r="D471" s="6" t="inlineStr">
        <is>
          <t>Real Estate</t>
        </is>
      </c>
      <c r="E471" s="6" t="inlineStr">
        <is>
          <t>1-10</t>
        </is>
      </c>
      <c r="F471" s="6" t="n">
        <v>5</v>
      </c>
      <c r="G471" s="6" t="n">
        <v>126.4</v>
      </c>
      <c r="H471" s="6" t="inlineStr">
        <is>
          <t>Direct Sales</t>
        </is>
      </c>
      <c r="I471" s="6" t="inlineStr">
        <is>
          <t>North America</t>
        </is>
      </c>
      <c r="J471" s="7" t="n">
        <v>45577</v>
      </c>
      <c r="K471" s="6" t="inlineStr">
        <is>
          <t>Yes</t>
        </is>
      </c>
      <c r="L471" s="7" t="n">
        <v>45756</v>
      </c>
      <c r="M471" s="6" t="inlineStr">
        <is>
          <t>Budget Cuts</t>
        </is>
      </c>
      <c r="N471" s="6" t="n">
        <v>4</v>
      </c>
      <c r="O471" s="6" t="n">
        <v>1</v>
      </c>
      <c r="P471" s="6" t="n">
        <v>21</v>
      </c>
      <c r="Q471" s="6" t="inlineStr">
        <is>
          <t>No</t>
        </is>
      </c>
      <c r="R471" s="6">
        <f>IF(K471="Yes",1,0)</f>
        <v/>
      </c>
      <c r="S471" s="6">
        <f>IF(K471="No",1,0)</f>
        <v/>
      </c>
      <c r="T471" s="6">
        <f>ROUND((IF(L471="",'Subscriptions'!$T$2,L471)-J471)/30.44,1)</f>
        <v/>
      </c>
      <c r="U471" s="6">
        <f>IF(AND(P471&lt;'Subscriptions'!$T$4,O471&lt;='Subscriptions'!$T$5),1,0)</f>
        <v/>
      </c>
    </row>
    <row r="472">
      <c r="A472" s="6" t="inlineStr">
        <is>
          <t>CUST-0471</t>
        </is>
      </c>
      <c r="B472" s="6" t="inlineStr">
        <is>
          <t>Business</t>
        </is>
      </c>
      <c r="C472" s="6" t="inlineStr">
        <is>
          <t>Annual</t>
        </is>
      </c>
      <c r="D472" s="6" t="inlineStr">
        <is>
          <t>Real Estate</t>
        </is>
      </c>
      <c r="E472" s="6" t="inlineStr">
        <is>
          <t>51-200</t>
        </is>
      </c>
      <c r="F472" s="6" t="n">
        <v>62</v>
      </c>
      <c r="G472" s="6" t="n">
        <v>1716.87</v>
      </c>
      <c r="H472" s="6" t="inlineStr">
        <is>
          <t>Paid Ads</t>
        </is>
      </c>
      <c r="I472" s="6" t="inlineStr">
        <is>
          <t>North America</t>
        </is>
      </c>
      <c r="J472" s="7" t="n">
        <v>45191</v>
      </c>
      <c r="K472" s="6" t="inlineStr">
        <is>
          <t>Yes</t>
        </is>
      </c>
      <c r="L472" s="7" t="n">
        <v>45811</v>
      </c>
      <c r="M472" s="6" t="inlineStr">
        <is>
          <t>No Longer Needed</t>
        </is>
      </c>
      <c r="N472" s="6" t="n">
        <v>10</v>
      </c>
      <c r="O472" s="6" t="n">
        <v>4</v>
      </c>
      <c r="P472" s="6" t="n">
        <v>28</v>
      </c>
      <c r="Q472" s="6" t="inlineStr">
        <is>
          <t>No</t>
        </is>
      </c>
      <c r="R472" s="6">
        <f>IF(K472="Yes",1,0)</f>
        <v/>
      </c>
      <c r="S472" s="6">
        <f>IF(K472="No",1,0)</f>
        <v/>
      </c>
      <c r="T472" s="6">
        <f>ROUND((IF(L472="",'Subscriptions'!$T$2,L472)-J472)/30.44,1)</f>
        <v/>
      </c>
      <c r="U472" s="6">
        <f>IF(AND(P472&lt;'Subscriptions'!$T$4,O472&lt;='Subscriptions'!$T$5),1,0)</f>
        <v/>
      </c>
    </row>
    <row r="473">
      <c r="A473" s="6" t="inlineStr">
        <is>
          <t>CUST-0472</t>
        </is>
      </c>
      <c r="B473" s="6" t="inlineStr">
        <is>
          <t>Starter</t>
        </is>
      </c>
      <c r="C473" s="6" t="inlineStr">
        <is>
          <t>Annual</t>
        </is>
      </c>
      <c r="D473" s="6" t="inlineStr">
        <is>
          <t>Real Estate</t>
        </is>
      </c>
      <c r="E473" s="6" t="inlineStr">
        <is>
          <t>11-50</t>
        </is>
      </c>
      <c r="F473" s="6" t="n">
        <v>5</v>
      </c>
      <c r="G473" s="6" t="n">
        <v>39.44</v>
      </c>
      <c r="H473" s="6" t="inlineStr">
        <is>
          <t>Partner</t>
        </is>
      </c>
      <c r="I473" s="6" t="inlineStr">
        <is>
          <t>Asia Pacific</t>
        </is>
      </c>
      <c r="J473" s="7" t="n">
        <v>44804</v>
      </c>
      <c r="K473" s="6" t="inlineStr">
        <is>
          <t>Yes</t>
        </is>
      </c>
      <c r="L473" s="7" t="n">
        <v>44920</v>
      </c>
      <c r="M473" s="6" t="inlineStr">
        <is>
          <t>Poor Support</t>
        </is>
      </c>
      <c r="N473" s="6" t="n">
        <v>12</v>
      </c>
      <c r="O473" s="6" t="n">
        <v>1</v>
      </c>
      <c r="P473" s="6" t="n">
        <v>44</v>
      </c>
      <c r="Q473" s="6" t="inlineStr">
        <is>
          <t>No</t>
        </is>
      </c>
      <c r="R473" s="6">
        <f>IF(K473="Yes",1,0)</f>
        <v/>
      </c>
      <c r="S473" s="6">
        <f>IF(K473="No",1,0)</f>
        <v/>
      </c>
      <c r="T473" s="6">
        <f>ROUND((IF(L473="",'Subscriptions'!$T$2,L473)-J473)/30.44,1)</f>
        <v/>
      </c>
      <c r="U473" s="6">
        <f>IF(AND(P473&lt;'Subscriptions'!$T$4,O473&lt;='Subscriptions'!$T$5),1,0)</f>
        <v/>
      </c>
    </row>
    <row r="474">
      <c r="A474" s="6" t="inlineStr">
        <is>
          <t>CUST-0473</t>
        </is>
      </c>
      <c r="B474" s="6" t="inlineStr">
        <is>
          <t>Starter</t>
        </is>
      </c>
      <c r="C474" s="6" t="inlineStr">
        <is>
          <t>Monthly</t>
        </is>
      </c>
      <c r="D474" s="6" t="inlineStr">
        <is>
          <t>Finance</t>
        </is>
      </c>
      <c r="E474" s="6" t="inlineStr">
        <is>
          <t>51-200</t>
        </is>
      </c>
      <c r="F474" s="6" t="n">
        <v>48</v>
      </c>
      <c r="G474" s="6" t="n">
        <v>233.45</v>
      </c>
      <c r="H474" s="6" t="inlineStr">
        <is>
          <t>Direct Sales</t>
        </is>
      </c>
      <c r="I474" s="6" t="inlineStr">
        <is>
          <t>North America</t>
        </is>
      </c>
      <c r="J474" s="7" t="n">
        <v>45842</v>
      </c>
      <c r="K474" s="6" t="inlineStr">
        <is>
          <t>No</t>
        </is>
      </c>
      <c r="L474" s="7" t="n"/>
      <c r="M474" s="6" t="n"/>
      <c r="N474" s="6" t="n">
        <v>0</v>
      </c>
      <c r="O474" s="6" t="n">
        <v>7</v>
      </c>
      <c r="P474" s="6" t="n">
        <v>40</v>
      </c>
      <c r="Q474" s="6" t="inlineStr">
        <is>
          <t>No</t>
        </is>
      </c>
      <c r="R474" s="6">
        <f>IF(K474="Yes",1,0)</f>
        <v/>
      </c>
      <c r="S474" s="6">
        <f>IF(K474="No",1,0)</f>
        <v/>
      </c>
      <c r="T474" s="6">
        <f>ROUND((IF(L474="",'Subscriptions'!$T$2,L474)-J474)/30.44,1)</f>
        <v/>
      </c>
      <c r="U474" s="6">
        <f>IF(AND(P474&lt;'Subscriptions'!$T$4,O474&lt;='Subscriptions'!$T$5),1,0)</f>
        <v/>
      </c>
    </row>
    <row r="475">
      <c r="A475" s="6" t="inlineStr">
        <is>
          <t>CUST-0474</t>
        </is>
      </c>
      <c r="B475" s="6" t="inlineStr">
        <is>
          <t>Professional</t>
        </is>
      </c>
      <c r="C475" s="6" t="inlineStr">
        <is>
          <t>Annual</t>
        </is>
      </c>
      <c r="D475" s="6" t="inlineStr">
        <is>
          <t>Real Estate</t>
        </is>
      </c>
      <c r="E475" s="6" t="inlineStr">
        <is>
          <t>11-50</t>
        </is>
      </c>
      <c r="F475" s="6" t="n">
        <v>7</v>
      </c>
      <c r="G475" s="6" t="n">
        <v>127.59</v>
      </c>
      <c r="H475" s="6" t="inlineStr">
        <is>
          <t>Referral</t>
        </is>
      </c>
      <c r="I475" s="6" t="inlineStr">
        <is>
          <t>Europe</t>
        </is>
      </c>
      <c r="J475" s="7" t="n">
        <v>44880</v>
      </c>
      <c r="K475" s="6" t="inlineStr">
        <is>
          <t>Yes</t>
        </is>
      </c>
      <c r="L475" s="7" t="n">
        <v>44964</v>
      </c>
      <c r="M475" s="6" t="inlineStr">
        <is>
          <t>Missing Features</t>
        </is>
      </c>
      <c r="N475" s="6" t="n">
        <v>1</v>
      </c>
      <c r="O475" s="6" t="n">
        <v>5</v>
      </c>
      <c r="P475" s="6" t="n">
        <v>45</v>
      </c>
      <c r="Q475" s="6" t="inlineStr">
        <is>
          <t>No</t>
        </is>
      </c>
      <c r="R475" s="6">
        <f>IF(K475="Yes",1,0)</f>
        <v/>
      </c>
      <c r="S475" s="6">
        <f>IF(K475="No",1,0)</f>
        <v/>
      </c>
      <c r="T475" s="6">
        <f>ROUND((IF(L475="",'Subscriptions'!$T$2,L475)-J475)/30.44,1)</f>
        <v/>
      </c>
      <c r="U475" s="6">
        <f>IF(AND(P475&lt;'Subscriptions'!$T$4,O475&lt;='Subscriptions'!$T$5),1,0)</f>
        <v/>
      </c>
    </row>
    <row r="476">
      <c r="A476" s="6" t="inlineStr">
        <is>
          <t>CUST-0475</t>
        </is>
      </c>
      <c r="B476" s="6" t="inlineStr">
        <is>
          <t>Professional</t>
        </is>
      </c>
      <c r="C476" s="6" t="inlineStr">
        <is>
          <t>Annual</t>
        </is>
      </c>
      <c r="D476" s="6" t="inlineStr">
        <is>
          <t>Real Estate</t>
        </is>
      </c>
      <c r="E476" s="6" t="inlineStr">
        <is>
          <t>1-10</t>
        </is>
      </c>
      <c r="F476" s="6" t="n">
        <v>1</v>
      </c>
      <c r="G476" s="6" t="n">
        <v>67.15000000000001</v>
      </c>
      <c r="H476" s="6" t="inlineStr">
        <is>
          <t>Paid Ads</t>
        </is>
      </c>
      <c r="I476" s="6" t="inlineStr">
        <is>
          <t>North America</t>
        </is>
      </c>
      <c r="J476" s="7" t="n">
        <v>46019</v>
      </c>
      <c r="K476" s="6" t="inlineStr">
        <is>
          <t>No</t>
        </is>
      </c>
      <c r="L476" s="7" t="n"/>
      <c r="M476" s="6" t="n"/>
      <c r="N476" s="6" t="n">
        <v>11</v>
      </c>
      <c r="O476" s="6" t="n">
        <v>6</v>
      </c>
      <c r="P476" s="6" t="n">
        <v>30</v>
      </c>
      <c r="Q476" s="6" t="inlineStr">
        <is>
          <t>No</t>
        </is>
      </c>
      <c r="R476" s="6">
        <f>IF(K476="Yes",1,0)</f>
        <v/>
      </c>
      <c r="S476" s="6">
        <f>IF(K476="No",1,0)</f>
        <v/>
      </c>
      <c r="T476" s="6">
        <f>ROUND((IF(L476="",'Subscriptions'!$T$2,L476)-J476)/30.44,1)</f>
        <v/>
      </c>
      <c r="U476" s="6">
        <f>IF(AND(P476&lt;'Subscriptions'!$T$4,O476&lt;='Subscriptions'!$T$5),1,0)</f>
        <v/>
      </c>
    </row>
    <row r="477">
      <c r="A477" s="6" t="inlineStr">
        <is>
          <t>CUST-0476</t>
        </is>
      </c>
      <c r="B477" s="6" t="inlineStr">
        <is>
          <t>Professional</t>
        </is>
      </c>
      <c r="C477" s="6" t="inlineStr">
        <is>
          <t>Annual</t>
        </is>
      </c>
      <c r="D477" s="6" t="inlineStr">
        <is>
          <t>Real Estate</t>
        </is>
      </c>
      <c r="E477" s="6" t="inlineStr">
        <is>
          <t>1-10</t>
        </is>
      </c>
      <c r="F477" s="6" t="n">
        <v>2</v>
      </c>
      <c r="G477" s="6" t="n">
        <v>77.22</v>
      </c>
      <c r="H477" s="6" t="inlineStr">
        <is>
          <t>Organic Search</t>
        </is>
      </c>
      <c r="I477" s="6" t="inlineStr">
        <is>
          <t>Latin America</t>
        </is>
      </c>
      <c r="J477" s="7" t="n">
        <v>45822</v>
      </c>
      <c r="K477" s="6" t="inlineStr">
        <is>
          <t>No</t>
        </is>
      </c>
      <c r="L477" s="7" t="n"/>
      <c r="M477" s="6" t="n"/>
      <c r="N477" s="6" t="n">
        <v>1</v>
      </c>
      <c r="O477" s="6" t="n">
        <v>3</v>
      </c>
      <c r="P477" s="6" t="n">
        <v>15</v>
      </c>
      <c r="Q477" s="6" t="inlineStr">
        <is>
          <t>No</t>
        </is>
      </c>
      <c r="R477" s="6">
        <f>IF(K477="Yes",1,0)</f>
        <v/>
      </c>
      <c r="S477" s="6">
        <f>IF(K477="No",1,0)</f>
        <v/>
      </c>
      <c r="T477" s="6">
        <f>ROUND((IF(L477="",'Subscriptions'!$T$2,L477)-J477)/30.44,1)</f>
        <v/>
      </c>
      <c r="U477" s="6">
        <f>IF(AND(P477&lt;'Subscriptions'!$T$4,O477&lt;='Subscriptions'!$T$5),1,0)</f>
        <v/>
      </c>
    </row>
    <row r="478">
      <c r="A478" s="6" t="inlineStr">
        <is>
          <t>CUST-0477</t>
        </is>
      </c>
      <c r="B478" s="6" t="inlineStr">
        <is>
          <t>Professional</t>
        </is>
      </c>
      <c r="C478" s="6" t="inlineStr">
        <is>
          <t>Monthly</t>
        </is>
      </c>
      <c r="D478" s="6" t="inlineStr">
        <is>
          <t>Technology</t>
        </is>
      </c>
      <c r="E478" s="6" t="inlineStr">
        <is>
          <t>51-200</t>
        </is>
      </c>
      <c r="F478" s="6" t="n">
        <v>67</v>
      </c>
      <c r="G478" s="6" t="n">
        <v>861.1</v>
      </c>
      <c r="H478" s="6" t="inlineStr">
        <is>
          <t>Direct Sales</t>
        </is>
      </c>
      <c r="I478" s="6" t="inlineStr">
        <is>
          <t>Asia Pacific</t>
        </is>
      </c>
      <c r="J478" s="7" t="n">
        <v>45822</v>
      </c>
      <c r="K478" s="6" t="inlineStr">
        <is>
          <t>No</t>
        </is>
      </c>
      <c r="L478" s="7" t="n"/>
      <c r="M478" s="6" t="n"/>
      <c r="N478" s="6" t="n">
        <v>11</v>
      </c>
      <c r="O478" s="6" t="n">
        <v>8</v>
      </c>
      <c r="P478" s="6" t="n">
        <v>76</v>
      </c>
      <c r="Q478" s="6" t="inlineStr">
        <is>
          <t>No</t>
        </is>
      </c>
      <c r="R478" s="6">
        <f>IF(K478="Yes",1,0)</f>
        <v/>
      </c>
      <c r="S478" s="6">
        <f>IF(K478="No",1,0)</f>
        <v/>
      </c>
      <c r="T478" s="6">
        <f>ROUND((IF(L478="",'Subscriptions'!$T$2,L478)-J478)/30.44,1)</f>
        <v/>
      </c>
      <c r="U478" s="6">
        <f>IF(AND(P478&lt;'Subscriptions'!$T$4,O478&lt;='Subscriptions'!$T$5),1,0)</f>
        <v/>
      </c>
    </row>
    <row r="479">
      <c r="A479" s="6" t="inlineStr">
        <is>
          <t>CUST-0478</t>
        </is>
      </c>
      <c r="B479" s="6" t="inlineStr">
        <is>
          <t>Business</t>
        </is>
      </c>
      <c r="C479" s="6" t="inlineStr">
        <is>
          <t>Monthly</t>
        </is>
      </c>
      <c r="D479" s="6" t="inlineStr">
        <is>
          <t>Retail</t>
        </is>
      </c>
      <c r="E479" s="6" t="inlineStr">
        <is>
          <t>1-10</t>
        </is>
      </c>
      <c r="F479" s="6" t="n">
        <v>3</v>
      </c>
      <c r="G479" s="6" t="n">
        <v>258.7</v>
      </c>
      <c r="H479" s="6" t="inlineStr">
        <is>
          <t>Paid Ads</t>
        </is>
      </c>
      <c r="I479" s="6" t="inlineStr">
        <is>
          <t>Europe</t>
        </is>
      </c>
      <c r="J479" s="7" t="n">
        <v>44609</v>
      </c>
      <c r="K479" s="6" t="inlineStr">
        <is>
          <t>Yes</t>
        </is>
      </c>
      <c r="L479" s="7" t="n">
        <v>45471</v>
      </c>
      <c r="M479" s="6" t="inlineStr">
        <is>
          <t>Poor Support</t>
        </is>
      </c>
      <c r="N479" s="6" t="n">
        <v>1</v>
      </c>
      <c r="O479" s="6" t="n">
        <v>1</v>
      </c>
      <c r="P479" s="6" t="n">
        <v>11</v>
      </c>
      <c r="Q479" s="6" t="inlineStr">
        <is>
          <t>No</t>
        </is>
      </c>
      <c r="R479" s="6">
        <f>IF(K479="Yes",1,0)</f>
        <v/>
      </c>
      <c r="S479" s="6">
        <f>IF(K479="No",1,0)</f>
        <v/>
      </c>
      <c r="T479" s="6">
        <f>ROUND((IF(L479="",'Subscriptions'!$T$2,L479)-J479)/30.44,1)</f>
        <v/>
      </c>
      <c r="U479" s="6">
        <f>IF(AND(P479&lt;'Subscriptions'!$T$4,O479&lt;='Subscriptions'!$T$5),1,0)</f>
        <v/>
      </c>
    </row>
    <row r="480">
      <c r="A480" s="6" t="inlineStr">
        <is>
          <t>CUST-0479</t>
        </is>
      </c>
      <c r="B480" s="6" t="inlineStr">
        <is>
          <t>Starter</t>
        </is>
      </c>
      <c r="C480" s="6" t="inlineStr">
        <is>
          <t>Monthly</t>
        </is>
      </c>
      <c r="D480" s="6" t="inlineStr">
        <is>
          <t>Healthcare</t>
        </is>
      </c>
      <c r="E480" s="6" t="inlineStr">
        <is>
          <t>11-50</t>
        </is>
      </c>
      <c r="F480" s="6" t="n">
        <v>10</v>
      </c>
      <c r="G480" s="6" t="n">
        <v>68.15000000000001</v>
      </c>
      <c r="H480" s="6" t="inlineStr">
        <is>
          <t>Paid Ads</t>
        </is>
      </c>
      <c r="I480" s="6" t="inlineStr">
        <is>
          <t>North America</t>
        </is>
      </c>
      <c r="J480" s="7" t="n">
        <v>45236</v>
      </c>
      <c r="K480" s="6" t="inlineStr">
        <is>
          <t>Yes</t>
        </is>
      </c>
      <c r="L480" s="7" t="n">
        <v>45737</v>
      </c>
      <c r="M480" s="6" t="inlineStr">
        <is>
          <t>Missing Features</t>
        </is>
      </c>
      <c r="N480" s="6" t="n">
        <v>2</v>
      </c>
      <c r="O480" s="6" t="n">
        <v>1</v>
      </c>
      <c r="P480" s="6" t="n">
        <v>21</v>
      </c>
      <c r="Q480" s="6" t="inlineStr">
        <is>
          <t>No</t>
        </is>
      </c>
      <c r="R480" s="6">
        <f>IF(K480="Yes",1,0)</f>
        <v/>
      </c>
      <c r="S480" s="6">
        <f>IF(K480="No",1,0)</f>
        <v/>
      </c>
      <c r="T480" s="6">
        <f>ROUND((IF(L480="",'Subscriptions'!$T$2,L480)-J480)/30.44,1)</f>
        <v/>
      </c>
      <c r="U480" s="6">
        <f>IF(AND(P480&lt;'Subscriptions'!$T$4,O480&lt;='Subscriptions'!$T$5),1,0)</f>
        <v/>
      </c>
    </row>
    <row r="481">
      <c r="A481" s="6" t="inlineStr">
        <is>
          <t>CUST-0480</t>
        </is>
      </c>
      <c r="B481" s="6" t="inlineStr">
        <is>
          <t>Business</t>
        </is>
      </c>
      <c r="C481" s="6" t="inlineStr">
        <is>
          <t>Monthly</t>
        </is>
      </c>
      <c r="D481" s="6" t="inlineStr">
        <is>
          <t>Manufacturing</t>
        </is>
      </c>
      <c r="E481" s="6" t="inlineStr">
        <is>
          <t>11-50</t>
        </is>
      </c>
      <c r="F481" s="6" t="n">
        <v>5</v>
      </c>
      <c r="G481" s="6" t="n">
        <v>318.4</v>
      </c>
      <c r="H481" s="6" t="inlineStr">
        <is>
          <t>Organic Search</t>
        </is>
      </c>
      <c r="I481" s="6" t="inlineStr">
        <is>
          <t>Europe</t>
        </is>
      </c>
      <c r="J481" s="7" t="n">
        <v>44965</v>
      </c>
      <c r="K481" s="6" t="inlineStr">
        <is>
          <t>Yes</t>
        </is>
      </c>
      <c r="L481" s="7" t="n">
        <v>44973</v>
      </c>
      <c r="M481" s="6" t="inlineStr">
        <is>
          <t>Company Closed</t>
        </is>
      </c>
      <c r="N481" s="6" t="n">
        <v>8</v>
      </c>
      <c r="O481" s="6" t="n">
        <v>6</v>
      </c>
      <c r="P481" s="6" t="n">
        <v>34</v>
      </c>
      <c r="Q481" s="6" t="inlineStr">
        <is>
          <t>No</t>
        </is>
      </c>
      <c r="R481" s="6">
        <f>IF(K481="Yes",1,0)</f>
        <v/>
      </c>
      <c r="S481" s="6">
        <f>IF(K481="No",1,0)</f>
        <v/>
      </c>
      <c r="T481" s="6">
        <f>ROUND((IF(L481="",'Subscriptions'!$T$2,L481)-J481)/30.44,1)</f>
        <v/>
      </c>
      <c r="U481" s="6">
        <f>IF(AND(P481&lt;'Subscriptions'!$T$4,O481&lt;='Subscriptions'!$T$5),1,0)</f>
        <v/>
      </c>
    </row>
    <row r="482">
      <c r="A482" s="6" t="inlineStr">
        <is>
          <t>CUST-0481</t>
        </is>
      </c>
      <c r="B482" s="6" t="inlineStr">
        <is>
          <t>Enterprise</t>
        </is>
      </c>
      <c r="C482" s="6" t="inlineStr">
        <is>
          <t>Monthly</t>
        </is>
      </c>
      <c r="D482" s="6" t="inlineStr">
        <is>
          <t>Legal</t>
        </is>
      </c>
      <c r="E482" s="6" t="inlineStr">
        <is>
          <t>201-500</t>
        </is>
      </c>
      <c r="F482" s="6" t="n">
        <v>112</v>
      </c>
      <c r="G482" s="6" t="n">
        <v>8807.35</v>
      </c>
      <c r="H482" s="6" t="inlineStr">
        <is>
          <t>Organic Search</t>
        </is>
      </c>
      <c r="I482" s="6" t="inlineStr">
        <is>
          <t>Europe</t>
        </is>
      </c>
      <c r="J482" s="7" t="n">
        <v>45464</v>
      </c>
      <c r="K482" s="6" t="inlineStr">
        <is>
          <t>No</t>
        </is>
      </c>
      <c r="L482" s="7" t="n"/>
      <c r="M482" s="6" t="n"/>
      <c r="N482" s="6" t="n">
        <v>2</v>
      </c>
      <c r="O482" s="6" t="n">
        <v>2</v>
      </c>
      <c r="P482" s="6" t="n">
        <v>61</v>
      </c>
      <c r="Q482" s="6" t="inlineStr">
        <is>
          <t>No</t>
        </is>
      </c>
      <c r="R482" s="6">
        <f>IF(K482="Yes",1,0)</f>
        <v/>
      </c>
      <c r="S482" s="6">
        <f>IF(K482="No",1,0)</f>
        <v/>
      </c>
      <c r="T482" s="6">
        <f>ROUND((IF(L482="",'Subscriptions'!$T$2,L482)-J482)/30.44,1)</f>
        <v/>
      </c>
      <c r="U482" s="6">
        <f>IF(AND(P482&lt;'Subscriptions'!$T$4,O482&lt;='Subscriptions'!$T$5),1,0)</f>
        <v/>
      </c>
    </row>
    <row r="483">
      <c r="A483" s="6" t="inlineStr">
        <is>
          <t>CUST-0482</t>
        </is>
      </c>
      <c r="B483" s="6" t="inlineStr">
        <is>
          <t>Professional</t>
        </is>
      </c>
      <c r="C483" s="6" t="inlineStr">
        <is>
          <t>Annual</t>
        </is>
      </c>
      <c r="D483" s="6" t="inlineStr">
        <is>
          <t>Education</t>
        </is>
      </c>
      <c r="E483" s="6" t="inlineStr">
        <is>
          <t>11-50</t>
        </is>
      </c>
      <c r="F483" s="6" t="n">
        <v>27</v>
      </c>
      <c r="G483" s="6" t="n">
        <v>329.03</v>
      </c>
      <c r="H483" s="6" t="inlineStr">
        <is>
          <t>Paid Ads</t>
        </is>
      </c>
      <c r="I483" s="6" t="inlineStr">
        <is>
          <t>North America</t>
        </is>
      </c>
      <c r="J483" s="7" t="n">
        <v>45567</v>
      </c>
      <c r="K483" s="6" t="inlineStr">
        <is>
          <t>No</t>
        </is>
      </c>
      <c r="L483" s="7" t="n"/>
      <c r="M483" s="6" t="n"/>
      <c r="N483" s="6" t="n">
        <v>8</v>
      </c>
      <c r="O483" s="6" t="n">
        <v>6</v>
      </c>
      <c r="P483" s="6" t="n">
        <v>80</v>
      </c>
      <c r="Q483" s="6" t="inlineStr">
        <is>
          <t>No</t>
        </is>
      </c>
      <c r="R483" s="6">
        <f>IF(K483="Yes",1,0)</f>
        <v/>
      </c>
      <c r="S483" s="6">
        <f>IF(K483="No",1,0)</f>
        <v/>
      </c>
      <c r="T483" s="6">
        <f>ROUND((IF(L483="",'Subscriptions'!$T$2,L483)-J483)/30.44,1)</f>
        <v/>
      </c>
      <c r="U483" s="6">
        <f>IF(AND(P483&lt;'Subscriptions'!$T$4,O483&lt;='Subscriptions'!$T$5),1,0)</f>
        <v/>
      </c>
    </row>
    <row r="484">
      <c r="A484" s="6" t="inlineStr">
        <is>
          <t>CUST-0483</t>
        </is>
      </c>
      <c r="B484" s="6" t="inlineStr">
        <is>
          <t>Starter</t>
        </is>
      </c>
      <c r="C484" s="6" t="inlineStr">
        <is>
          <t>Annual</t>
        </is>
      </c>
      <c r="D484" s="6" t="inlineStr">
        <is>
          <t>Education</t>
        </is>
      </c>
      <c r="E484" s="6" t="inlineStr">
        <is>
          <t>11-50</t>
        </is>
      </c>
      <c r="F484" s="6" t="n">
        <v>6</v>
      </c>
      <c r="G484" s="6" t="n">
        <v>43.14</v>
      </c>
      <c r="H484" s="6" t="inlineStr">
        <is>
          <t>Paid Ads</t>
        </is>
      </c>
      <c r="I484" s="6" t="inlineStr">
        <is>
          <t>North America</t>
        </is>
      </c>
      <c r="J484" s="7" t="n">
        <v>44614</v>
      </c>
      <c r="K484" s="6" t="inlineStr">
        <is>
          <t>Yes</t>
        </is>
      </c>
      <c r="L484" s="7" t="n">
        <v>44784</v>
      </c>
      <c r="M484" s="6" t="inlineStr">
        <is>
          <t>Company Closed</t>
        </is>
      </c>
      <c r="N484" s="6" t="n">
        <v>6</v>
      </c>
      <c r="O484" s="6" t="n">
        <v>1</v>
      </c>
      <c r="P484" s="6" t="n">
        <v>21</v>
      </c>
      <c r="Q484" s="6" t="inlineStr">
        <is>
          <t>No</t>
        </is>
      </c>
      <c r="R484" s="6">
        <f>IF(K484="Yes",1,0)</f>
        <v/>
      </c>
      <c r="S484" s="6">
        <f>IF(K484="No",1,0)</f>
        <v/>
      </c>
      <c r="T484" s="6">
        <f>ROUND((IF(L484="",'Subscriptions'!$T$2,L484)-J484)/30.44,1)</f>
        <v/>
      </c>
      <c r="U484" s="6">
        <f>IF(AND(P484&lt;'Subscriptions'!$T$4,O484&lt;='Subscriptions'!$T$5),1,0)</f>
        <v/>
      </c>
    </row>
    <row r="485">
      <c r="A485" s="6" t="inlineStr">
        <is>
          <t>CUST-0484</t>
        </is>
      </c>
      <c r="B485" s="6" t="inlineStr">
        <is>
          <t>Business</t>
        </is>
      </c>
      <c r="C485" s="6" t="inlineStr">
        <is>
          <t>Monthly</t>
        </is>
      </c>
      <c r="D485" s="6" t="inlineStr">
        <is>
          <t>Legal</t>
        </is>
      </c>
      <c r="E485" s="6" t="inlineStr">
        <is>
          <t>11-50</t>
        </is>
      </c>
      <c r="F485" s="6" t="n">
        <v>29</v>
      </c>
      <c r="G485" s="6" t="n">
        <v>1034.8</v>
      </c>
      <c r="H485" s="6" t="inlineStr">
        <is>
          <t>Organic Search</t>
        </is>
      </c>
      <c r="I485" s="6" t="inlineStr">
        <is>
          <t>Europe</t>
        </is>
      </c>
      <c r="J485" s="7" t="n">
        <v>45072</v>
      </c>
      <c r="K485" s="6" t="inlineStr">
        <is>
          <t>Yes</t>
        </is>
      </c>
      <c r="L485" s="7" t="n">
        <v>45095</v>
      </c>
      <c r="M485" s="6" t="inlineStr">
        <is>
          <t>Poor Support</t>
        </is>
      </c>
      <c r="N485" s="6" t="n">
        <v>7</v>
      </c>
      <c r="O485" s="6" t="n">
        <v>3</v>
      </c>
      <c r="P485" s="6" t="n">
        <v>32</v>
      </c>
      <c r="Q485" s="6" t="inlineStr">
        <is>
          <t>No</t>
        </is>
      </c>
      <c r="R485" s="6">
        <f>IF(K485="Yes",1,0)</f>
        <v/>
      </c>
      <c r="S485" s="6">
        <f>IF(K485="No",1,0)</f>
        <v/>
      </c>
      <c r="T485" s="6">
        <f>ROUND((IF(L485="",'Subscriptions'!$T$2,L485)-J485)/30.44,1)</f>
        <v/>
      </c>
      <c r="U485" s="6">
        <f>IF(AND(P485&lt;'Subscriptions'!$T$4,O485&lt;='Subscriptions'!$T$5),1,0)</f>
        <v/>
      </c>
    </row>
    <row r="486">
      <c r="A486" s="6" t="inlineStr">
        <is>
          <t>CUST-0485</t>
        </is>
      </c>
      <c r="B486" s="6" t="inlineStr">
        <is>
          <t>Professional</t>
        </is>
      </c>
      <c r="C486" s="6" t="inlineStr">
        <is>
          <t>Annual</t>
        </is>
      </c>
      <c r="D486" s="6" t="inlineStr">
        <is>
          <t>Finance</t>
        </is>
      </c>
      <c r="E486" s="6" t="inlineStr">
        <is>
          <t>1-10</t>
        </is>
      </c>
      <c r="F486" s="6" t="n">
        <v>2</v>
      </c>
      <c r="G486" s="6" t="n">
        <v>77.22</v>
      </c>
      <c r="H486" s="6" t="inlineStr">
        <is>
          <t>Organic Search</t>
        </is>
      </c>
      <c r="I486" s="6" t="inlineStr">
        <is>
          <t>Europe</t>
        </is>
      </c>
      <c r="J486" s="7" t="n">
        <v>45182</v>
      </c>
      <c r="K486" s="6" t="inlineStr">
        <is>
          <t>Yes</t>
        </is>
      </c>
      <c r="L486" s="7" t="n">
        <v>45745</v>
      </c>
      <c r="M486" s="6" t="inlineStr">
        <is>
          <t>Budget Cuts</t>
        </is>
      </c>
      <c r="N486" s="6" t="n">
        <v>7</v>
      </c>
      <c r="O486" s="6" t="n">
        <v>1</v>
      </c>
      <c r="P486" s="6" t="n">
        <v>30</v>
      </c>
      <c r="Q486" s="6" t="inlineStr">
        <is>
          <t>No</t>
        </is>
      </c>
      <c r="R486" s="6">
        <f>IF(K486="Yes",1,0)</f>
        <v/>
      </c>
      <c r="S486" s="6">
        <f>IF(K486="No",1,0)</f>
        <v/>
      </c>
      <c r="T486" s="6">
        <f>ROUND((IF(L486="",'Subscriptions'!$T$2,L486)-J486)/30.44,1)</f>
        <v/>
      </c>
      <c r="U486" s="6">
        <f>IF(AND(P486&lt;'Subscriptions'!$T$4,O486&lt;='Subscriptions'!$T$5),1,0)</f>
        <v/>
      </c>
    </row>
    <row r="487">
      <c r="A487" s="6" t="inlineStr">
        <is>
          <t>CUST-0486</t>
        </is>
      </c>
      <c r="B487" s="6" t="inlineStr">
        <is>
          <t>Starter</t>
        </is>
      </c>
      <c r="C487" s="6" t="inlineStr">
        <is>
          <t>Monthly</t>
        </is>
      </c>
      <c r="D487" s="6" t="inlineStr">
        <is>
          <t>Healthcare</t>
        </is>
      </c>
      <c r="E487" s="6" t="inlineStr">
        <is>
          <t>51-200</t>
        </is>
      </c>
      <c r="F487" s="6" t="n">
        <v>25</v>
      </c>
      <c r="G487" s="6" t="n">
        <v>133.4</v>
      </c>
      <c r="H487" s="6" t="inlineStr">
        <is>
          <t>Partner</t>
        </is>
      </c>
      <c r="I487" s="6" t="inlineStr">
        <is>
          <t>Asia Pacific</t>
        </is>
      </c>
      <c r="J487" s="7" t="n">
        <v>45625</v>
      </c>
      <c r="K487" s="6" t="inlineStr">
        <is>
          <t>Yes</t>
        </is>
      </c>
      <c r="L487" s="7" t="n">
        <v>45685</v>
      </c>
      <c r="M487" s="6" t="inlineStr">
        <is>
          <t>Budget Cuts</t>
        </is>
      </c>
      <c r="N487" s="6" t="n">
        <v>10</v>
      </c>
      <c r="O487" s="6" t="n">
        <v>4</v>
      </c>
      <c r="P487" s="6" t="n">
        <v>29</v>
      </c>
      <c r="Q487" s="6" t="inlineStr">
        <is>
          <t>No</t>
        </is>
      </c>
      <c r="R487" s="6">
        <f>IF(K487="Yes",1,0)</f>
        <v/>
      </c>
      <c r="S487" s="6">
        <f>IF(K487="No",1,0)</f>
        <v/>
      </c>
      <c r="T487" s="6">
        <f>ROUND((IF(L487="",'Subscriptions'!$T$2,L487)-J487)/30.44,1)</f>
        <v/>
      </c>
      <c r="U487" s="6">
        <f>IF(AND(P487&lt;'Subscriptions'!$T$4,O487&lt;='Subscriptions'!$T$5),1,0)</f>
        <v/>
      </c>
    </row>
    <row r="488">
      <c r="A488" s="6" t="inlineStr">
        <is>
          <t>CUST-0487</t>
        </is>
      </c>
      <c r="B488" s="6" t="inlineStr">
        <is>
          <t>Starter</t>
        </is>
      </c>
      <c r="C488" s="6" t="inlineStr">
        <is>
          <t>Monthly</t>
        </is>
      </c>
      <c r="D488" s="6" t="inlineStr">
        <is>
          <t>Real Estate</t>
        </is>
      </c>
      <c r="E488" s="6" t="inlineStr">
        <is>
          <t>1-10</t>
        </is>
      </c>
      <c r="F488" s="6" t="n">
        <v>7</v>
      </c>
      <c r="G488" s="6" t="n">
        <v>55.1</v>
      </c>
      <c r="H488" s="6" t="inlineStr">
        <is>
          <t>Social Media</t>
        </is>
      </c>
      <c r="I488" s="6" t="inlineStr">
        <is>
          <t>Europe</t>
        </is>
      </c>
      <c r="J488" s="7" t="n">
        <v>45485</v>
      </c>
      <c r="K488" s="6" t="inlineStr">
        <is>
          <t>Yes</t>
        </is>
      </c>
      <c r="L488" s="7" t="n">
        <v>45933</v>
      </c>
      <c r="M488" s="6" t="inlineStr">
        <is>
          <t>Missing Features</t>
        </is>
      </c>
      <c r="N488" s="6" t="n">
        <v>8</v>
      </c>
      <c r="O488" s="6" t="n">
        <v>3</v>
      </c>
      <c r="P488" s="6" t="n">
        <v>50</v>
      </c>
      <c r="Q488" s="6" t="inlineStr">
        <is>
          <t>No</t>
        </is>
      </c>
      <c r="R488" s="6">
        <f>IF(K488="Yes",1,0)</f>
        <v/>
      </c>
      <c r="S488" s="6">
        <f>IF(K488="No",1,0)</f>
        <v/>
      </c>
      <c r="T488" s="6">
        <f>ROUND((IF(L488="",'Subscriptions'!$T$2,L488)-J488)/30.44,1)</f>
        <v/>
      </c>
      <c r="U488" s="6">
        <f>IF(AND(P488&lt;'Subscriptions'!$T$4,O488&lt;='Subscriptions'!$T$5),1,0)</f>
        <v/>
      </c>
    </row>
    <row r="489">
      <c r="A489" s="6" t="inlineStr">
        <is>
          <t>CUST-0488</t>
        </is>
      </c>
      <c r="B489" s="6" t="inlineStr">
        <is>
          <t>Business</t>
        </is>
      </c>
      <c r="C489" s="6" t="inlineStr">
        <is>
          <t>Annual</t>
        </is>
      </c>
      <c r="D489" s="6" t="inlineStr">
        <is>
          <t>Education</t>
        </is>
      </c>
      <c r="E489" s="6" t="inlineStr">
        <is>
          <t>1-10</t>
        </is>
      </c>
      <c r="F489" s="6" t="n">
        <v>7</v>
      </c>
      <c r="G489" s="6" t="n">
        <v>321.38</v>
      </c>
      <c r="H489" s="6" t="inlineStr">
        <is>
          <t>Partner</t>
        </is>
      </c>
      <c r="I489" s="6" t="inlineStr">
        <is>
          <t>North America</t>
        </is>
      </c>
      <c r="J489" s="7" t="n">
        <v>44825</v>
      </c>
      <c r="K489" s="6" t="inlineStr">
        <is>
          <t>No</t>
        </is>
      </c>
      <c r="L489" s="7" t="n"/>
      <c r="M489" s="6" t="n"/>
      <c r="N489" s="6" t="n">
        <v>2</v>
      </c>
      <c r="O489" s="6" t="n">
        <v>6</v>
      </c>
      <c r="P489" s="6" t="n">
        <v>84</v>
      </c>
      <c r="Q489" s="6" t="inlineStr">
        <is>
          <t>No</t>
        </is>
      </c>
      <c r="R489" s="6">
        <f>IF(K489="Yes",1,0)</f>
        <v/>
      </c>
      <c r="S489" s="6">
        <f>IF(K489="No",1,0)</f>
        <v/>
      </c>
      <c r="T489" s="6">
        <f>ROUND((IF(L489="",'Subscriptions'!$T$2,L489)-J489)/30.44,1)</f>
        <v/>
      </c>
      <c r="U489" s="6">
        <f>IF(AND(P489&lt;'Subscriptions'!$T$4,O489&lt;='Subscriptions'!$T$5),1,0)</f>
        <v/>
      </c>
    </row>
    <row r="490">
      <c r="A490" s="6" t="inlineStr">
        <is>
          <t>CUST-0489</t>
        </is>
      </c>
      <c r="B490" s="6" t="inlineStr">
        <is>
          <t>Professional</t>
        </is>
      </c>
      <c r="C490" s="6" t="inlineStr">
        <is>
          <t>Monthly</t>
        </is>
      </c>
      <c r="D490" s="6" t="inlineStr">
        <is>
          <t>Consulting</t>
        </is>
      </c>
      <c r="E490" s="6" t="inlineStr">
        <is>
          <t>11-50</t>
        </is>
      </c>
      <c r="F490" s="6" t="n">
        <v>24</v>
      </c>
      <c r="G490" s="6" t="n">
        <v>351.55</v>
      </c>
      <c r="H490" s="6" t="inlineStr">
        <is>
          <t>Referral</t>
        </is>
      </c>
      <c r="I490" s="6" t="inlineStr">
        <is>
          <t>Asia Pacific</t>
        </is>
      </c>
      <c r="J490" s="7" t="n">
        <v>45137</v>
      </c>
      <c r="K490" s="6" t="inlineStr">
        <is>
          <t>Yes</t>
        </is>
      </c>
      <c r="L490" s="7" t="n">
        <v>45779</v>
      </c>
      <c r="M490" s="6" t="inlineStr">
        <is>
          <t>No Longer Needed</t>
        </is>
      </c>
      <c r="N490" s="6" t="n">
        <v>15</v>
      </c>
      <c r="O490" s="6" t="n">
        <v>5</v>
      </c>
      <c r="P490" s="6" t="n">
        <v>26</v>
      </c>
      <c r="Q490" s="6" t="inlineStr">
        <is>
          <t>No</t>
        </is>
      </c>
      <c r="R490" s="6">
        <f>IF(K490="Yes",1,0)</f>
        <v/>
      </c>
      <c r="S490" s="6">
        <f>IF(K490="No",1,0)</f>
        <v/>
      </c>
      <c r="T490" s="6">
        <f>ROUND((IF(L490="",'Subscriptions'!$T$2,L490)-J490)/30.44,1)</f>
        <v/>
      </c>
      <c r="U490" s="6">
        <f>IF(AND(P490&lt;'Subscriptions'!$T$4,O490&lt;='Subscriptions'!$T$5),1,0)</f>
        <v/>
      </c>
    </row>
    <row r="491">
      <c r="A491" s="6" t="inlineStr">
        <is>
          <t>CUST-0490</t>
        </is>
      </c>
      <c r="B491" s="6" t="inlineStr">
        <is>
          <t>Enterprise</t>
        </is>
      </c>
      <c r="C491" s="6" t="inlineStr">
        <is>
          <t>Monthly</t>
        </is>
      </c>
      <c r="D491" s="6" t="inlineStr">
        <is>
          <t>Media</t>
        </is>
      </c>
      <c r="E491" s="6" t="inlineStr">
        <is>
          <t>1-10</t>
        </is>
      </c>
      <c r="F491" s="6" t="n">
        <v>6</v>
      </c>
      <c r="G491" s="6" t="n">
        <v>873.25</v>
      </c>
      <c r="H491" s="6" t="inlineStr">
        <is>
          <t>Referral</t>
        </is>
      </c>
      <c r="I491" s="6" t="inlineStr">
        <is>
          <t>North America</t>
        </is>
      </c>
      <c r="J491" s="7" t="n">
        <v>44647</v>
      </c>
      <c r="K491" s="6" t="inlineStr">
        <is>
          <t>Yes</t>
        </is>
      </c>
      <c r="L491" s="7" t="n">
        <v>45710</v>
      </c>
      <c r="M491" s="6" t="inlineStr">
        <is>
          <t>Company Closed</t>
        </is>
      </c>
      <c r="N491" s="6" t="n">
        <v>11</v>
      </c>
      <c r="O491" s="6" t="n">
        <v>3</v>
      </c>
      <c r="P491" s="6" t="n">
        <v>19</v>
      </c>
      <c r="Q491" s="6" t="inlineStr">
        <is>
          <t>No</t>
        </is>
      </c>
      <c r="R491" s="6">
        <f>IF(K491="Yes",1,0)</f>
        <v/>
      </c>
      <c r="S491" s="6">
        <f>IF(K491="No",1,0)</f>
        <v/>
      </c>
      <c r="T491" s="6">
        <f>ROUND((IF(L491="",'Subscriptions'!$T$2,L491)-J491)/30.44,1)</f>
        <v/>
      </c>
      <c r="U491" s="6">
        <f>IF(AND(P491&lt;'Subscriptions'!$T$4,O491&lt;='Subscriptions'!$T$5),1,0)</f>
        <v/>
      </c>
    </row>
    <row r="492">
      <c r="A492" s="6" t="inlineStr">
        <is>
          <t>CUST-0491</t>
        </is>
      </c>
      <c r="B492" s="6" t="inlineStr">
        <is>
          <t>Starter</t>
        </is>
      </c>
      <c r="C492" s="6" t="inlineStr">
        <is>
          <t>Monthly</t>
        </is>
      </c>
      <c r="D492" s="6" t="inlineStr">
        <is>
          <t>Manufacturing</t>
        </is>
      </c>
      <c r="E492" s="6" t="inlineStr">
        <is>
          <t>201-500</t>
        </is>
      </c>
      <c r="F492" s="6" t="n">
        <v>121</v>
      </c>
      <c r="G492" s="6" t="n">
        <v>551</v>
      </c>
      <c r="H492" s="6" t="inlineStr">
        <is>
          <t>Social Media</t>
        </is>
      </c>
      <c r="I492" s="6" t="inlineStr">
        <is>
          <t>Europe</t>
        </is>
      </c>
      <c r="J492" s="7" t="n">
        <v>45444</v>
      </c>
      <c r="K492" s="6" t="inlineStr">
        <is>
          <t>Yes</t>
        </is>
      </c>
      <c r="L492" s="7" t="n">
        <v>45753</v>
      </c>
      <c r="M492" s="6" t="inlineStr">
        <is>
          <t>Price Too High</t>
        </is>
      </c>
      <c r="N492" s="6" t="n">
        <v>2</v>
      </c>
      <c r="O492" s="6" t="n">
        <v>6</v>
      </c>
      <c r="P492" s="6" t="n">
        <v>23</v>
      </c>
      <c r="Q492" s="6" t="inlineStr">
        <is>
          <t>No</t>
        </is>
      </c>
      <c r="R492" s="6">
        <f>IF(K492="Yes",1,0)</f>
        <v/>
      </c>
      <c r="S492" s="6">
        <f>IF(K492="No",1,0)</f>
        <v/>
      </c>
      <c r="T492" s="6">
        <f>ROUND((IF(L492="",'Subscriptions'!$T$2,L492)-J492)/30.44,1)</f>
        <v/>
      </c>
      <c r="U492" s="6">
        <f>IF(AND(P492&lt;'Subscriptions'!$T$4,O492&lt;='Subscriptions'!$T$5),1,0)</f>
        <v/>
      </c>
    </row>
    <row r="493">
      <c r="A493" s="6" t="inlineStr">
        <is>
          <t>CUST-0492</t>
        </is>
      </c>
      <c r="B493" s="6" t="inlineStr">
        <is>
          <t>Professional</t>
        </is>
      </c>
      <c r="C493" s="6" t="inlineStr">
        <is>
          <t>Monthly</t>
        </is>
      </c>
      <c r="D493" s="6" t="inlineStr">
        <is>
          <t>Finance</t>
        </is>
      </c>
      <c r="E493" s="6" t="inlineStr">
        <is>
          <t>1-10</t>
        </is>
      </c>
      <c r="F493" s="6" t="n">
        <v>4</v>
      </c>
      <c r="G493" s="6" t="n">
        <v>114.55</v>
      </c>
      <c r="H493" s="6" t="inlineStr">
        <is>
          <t>Referral</t>
        </is>
      </c>
      <c r="I493" s="6" t="inlineStr">
        <is>
          <t>Europe</t>
        </is>
      </c>
      <c r="J493" s="7" t="n">
        <v>44899</v>
      </c>
      <c r="K493" s="6" t="inlineStr">
        <is>
          <t>Yes</t>
        </is>
      </c>
      <c r="L493" s="7" t="n">
        <v>45747</v>
      </c>
      <c r="M493" s="6" t="inlineStr">
        <is>
          <t>Company Closed</t>
        </is>
      </c>
      <c r="N493" s="6" t="n">
        <v>15</v>
      </c>
      <c r="O493" s="6" t="n">
        <v>1</v>
      </c>
      <c r="P493" s="6" t="n">
        <v>27</v>
      </c>
      <c r="Q493" s="6" t="inlineStr">
        <is>
          <t>No</t>
        </is>
      </c>
      <c r="R493" s="6">
        <f>IF(K493="Yes",1,0)</f>
        <v/>
      </c>
      <c r="S493" s="6">
        <f>IF(K493="No",1,0)</f>
        <v/>
      </c>
      <c r="T493" s="6">
        <f>ROUND((IF(L493="",'Subscriptions'!$T$2,L493)-J493)/30.44,1)</f>
        <v/>
      </c>
      <c r="U493" s="6">
        <f>IF(AND(P493&lt;'Subscriptions'!$T$4,O493&lt;='Subscriptions'!$T$5),1,0)</f>
        <v/>
      </c>
    </row>
    <row r="494">
      <c r="A494" s="6" t="inlineStr">
        <is>
          <t>CUST-0493</t>
        </is>
      </c>
      <c r="B494" s="6" t="inlineStr">
        <is>
          <t>Starter</t>
        </is>
      </c>
      <c r="C494" s="6" t="inlineStr">
        <is>
          <t>Annual</t>
        </is>
      </c>
      <c r="D494" s="6" t="inlineStr">
        <is>
          <t>Finance</t>
        </is>
      </c>
      <c r="E494" s="6" t="inlineStr">
        <is>
          <t>51-200</t>
        </is>
      </c>
      <c r="F494" s="6" t="n">
        <v>73</v>
      </c>
      <c r="G494" s="6" t="n">
        <v>290.87</v>
      </c>
      <c r="H494" s="6" t="inlineStr">
        <is>
          <t>Organic Search</t>
        </is>
      </c>
      <c r="I494" s="6" t="inlineStr">
        <is>
          <t>North America</t>
        </is>
      </c>
      <c r="J494" s="7" t="n">
        <v>45936</v>
      </c>
      <c r="K494" s="6" t="inlineStr">
        <is>
          <t>No</t>
        </is>
      </c>
      <c r="L494" s="7" t="n"/>
      <c r="M494" s="6" t="n"/>
      <c r="N494" s="6" t="n">
        <v>3</v>
      </c>
      <c r="O494" s="6" t="n">
        <v>7</v>
      </c>
      <c r="P494" s="6" t="n">
        <v>57</v>
      </c>
      <c r="Q494" s="6" t="inlineStr">
        <is>
          <t>No</t>
        </is>
      </c>
      <c r="R494" s="6">
        <f>IF(K494="Yes",1,0)</f>
        <v/>
      </c>
      <c r="S494" s="6">
        <f>IF(K494="No",1,0)</f>
        <v/>
      </c>
      <c r="T494" s="6">
        <f>ROUND((IF(L494="",'Subscriptions'!$T$2,L494)-J494)/30.44,1)</f>
        <v/>
      </c>
      <c r="U494" s="6">
        <f>IF(AND(P494&lt;'Subscriptions'!$T$4,O494&lt;='Subscriptions'!$T$5),1,0)</f>
        <v/>
      </c>
    </row>
    <row r="495">
      <c r="A495" s="6" t="inlineStr">
        <is>
          <t>CUST-0494</t>
        </is>
      </c>
      <c r="B495" s="6" t="inlineStr">
        <is>
          <t>Business</t>
        </is>
      </c>
      <c r="C495" s="6" t="inlineStr">
        <is>
          <t>Monthly</t>
        </is>
      </c>
      <c r="D495" s="6" t="inlineStr">
        <is>
          <t>Retail</t>
        </is>
      </c>
      <c r="E495" s="6" t="inlineStr">
        <is>
          <t>500+</t>
        </is>
      </c>
      <c r="F495" s="6" t="n">
        <v>199</v>
      </c>
      <c r="G495" s="6" t="n">
        <v>6109.3</v>
      </c>
      <c r="H495" s="6" t="inlineStr">
        <is>
          <t>Partner</t>
        </is>
      </c>
      <c r="I495" s="6" t="inlineStr">
        <is>
          <t>North America</t>
        </is>
      </c>
      <c r="J495" s="7" t="n">
        <v>44711</v>
      </c>
      <c r="K495" s="6" t="inlineStr">
        <is>
          <t>Yes</t>
        </is>
      </c>
      <c r="L495" s="7" t="n">
        <v>45919</v>
      </c>
      <c r="M495" s="6" t="inlineStr">
        <is>
          <t>Missing Features</t>
        </is>
      </c>
      <c r="N495" s="6" t="n">
        <v>13</v>
      </c>
      <c r="O495" s="6" t="n">
        <v>4</v>
      </c>
      <c r="P495" s="6" t="n">
        <v>26</v>
      </c>
      <c r="Q495" s="6" t="inlineStr">
        <is>
          <t>No</t>
        </is>
      </c>
      <c r="R495" s="6">
        <f>IF(K495="Yes",1,0)</f>
        <v/>
      </c>
      <c r="S495" s="6">
        <f>IF(K495="No",1,0)</f>
        <v/>
      </c>
      <c r="T495" s="6">
        <f>ROUND((IF(L495="",'Subscriptions'!$T$2,L495)-J495)/30.44,1)</f>
        <v/>
      </c>
      <c r="U495" s="6">
        <f>IF(AND(P495&lt;'Subscriptions'!$T$4,O495&lt;='Subscriptions'!$T$5),1,0)</f>
        <v/>
      </c>
    </row>
    <row r="496">
      <c r="A496" s="6" t="inlineStr">
        <is>
          <t>CUST-0495</t>
        </is>
      </c>
      <c r="B496" s="6" t="inlineStr">
        <is>
          <t>Business</t>
        </is>
      </c>
      <c r="C496" s="6" t="inlineStr">
        <is>
          <t>Monthly</t>
        </is>
      </c>
      <c r="D496" s="6" t="inlineStr">
        <is>
          <t>Healthcare</t>
        </is>
      </c>
      <c r="E496" s="6" t="inlineStr">
        <is>
          <t>11-50</t>
        </is>
      </c>
      <c r="F496" s="6" t="n">
        <v>21</v>
      </c>
      <c r="G496" s="6" t="n">
        <v>796</v>
      </c>
      <c r="H496" s="6" t="inlineStr">
        <is>
          <t>Paid Ads</t>
        </is>
      </c>
      <c r="I496" s="6" t="inlineStr">
        <is>
          <t>Asia Pacific</t>
        </is>
      </c>
      <c r="J496" s="7" t="n">
        <v>44783</v>
      </c>
      <c r="K496" s="6" t="inlineStr">
        <is>
          <t>Yes</t>
        </is>
      </c>
      <c r="L496" s="7" t="n">
        <v>45269</v>
      </c>
      <c r="M496" s="6" t="inlineStr">
        <is>
          <t>No Longer Needed</t>
        </is>
      </c>
      <c r="N496" s="6" t="n">
        <v>4</v>
      </c>
      <c r="O496" s="6" t="n">
        <v>1</v>
      </c>
      <c r="P496" s="6" t="n">
        <v>13</v>
      </c>
      <c r="Q496" s="6" t="inlineStr">
        <is>
          <t>No</t>
        </is>
      </c>
      <c r="R496" s="6">
        <f>IF(K496="Yes",1,0)</f>
        <v/>
      </c>
      <c r="S496" s="6">
        <f>IF(K496="No",1,0)</f>
        <v/>
      </c>
      <c r="T496" s="6">
        <f>ROUND((IF(L496="",'Subscriptions'!$T$2,L496)-J496)/30.44,1)</f>
        <v/>
      </c>
      <c r="U496" s="6">
        <f>IF(AND(P496&lt;'Subscriptions'!$T$4,O496&lt;='Subscriptions'!$T$5),1,0)</f>
        <v/>
      </c>
    </row>
    <row r="497">
      <c r="A497" s="6" t="inlineStr">
        <is>
          <t>CUST-0496</t>
        </is>
      </c>
      <c r="B497" s="6" t="inlineStr">
        <is>
          <t>Starter</t>
        </is>
      </c>
      <c r="C497" s="6" t="inlineStr">
        <is>
          <t>Annual</t>
        </is>
      </c>
      <c r="D497" s="6" t="inlineStr">
        <is>
          <t>Finance</t>
        </is>
      </c>
      <c r="E497" s="6" t="inlineStr">
        <is>
          <t>1-10</t>
        </is>
      </c>
      <c r="F497" s="6" t="n">
        <v>4</v>
      </c>
      <c r="G497" s="6" t="n">
        <v>35.74</v>
      </c>
      <c r="H497" s="6" t="inlineStr">
        <is>
          <t>Referral</t>
        </is>
      </c>
      <c r="I497" s="6" t="inlineStr">
        <is>
          <t>Europe</t>
        </is>
      </c>
      <c r="J497" s="7" t="n">
        <v>45104</v>
      </c>
      <c r="K497" s="6" t="inlineStr">
        <is>
          <t>Yes</t>
        </is>
      </c>
      <c r="L497" s="7" t="n">
        <v>45180</v>
      </c>
      <c r="M497" s="6" t="inlineStr">
        <is>
          <t>Price Too High</t>
        </is>
      </c>
      <c r="N497" s="6" t="n">
        <v>1</v>
      </c>
      <c r="O497" s="6" t="n">
        <v>1</v>
      </c>
      <c r="P497" s="6" t="n">
        <v>39</v>
      </c>
      <c r="Q497" s="6" t="inlineStr">
        <is>
          <t>No</t>
        </is>
      </c>
      <c r="R497" s="6">
        <f>IF(K497="Yes",1,0)</f>
        <v/>
      </c>
      <c r="S497" s="6">
        <f>IF(K497="No",1,0)</f>
        <v/>
      </c>
      <c r="T497" s="6">
        <f>ROUND((IF(L497="",'Subscriptions'!$T$2,L497)-J497)/30.44,1)</f>
        <v/>
      </c>
      <c r="U497" s="6">
        <f>IF(AND(P497&lt;'Subscriptions'!$T$4,O497&lt;='Subscriptions'!$T$5),1,0)</f>
        <v/>
      </c>
    </row>
    <row r="498">
      <c r="A498" s="6" t="inlineStr">
        <is>
          <t>CUST-0497</t>
        </is>
      </c>
      <c r="B498" s="6" t="inlineStr">
        <is>
          <t>Enterprise</t>
        </is>
      </c>
      <c r="C498" s="6" t="inlineStr">
        <is>
          <t>Monthly</t>
        </is>
      </c>
      <c r="D498" s="6" t="inlineStr">
        <is>
          <t>Legal</t>
        </is>
      </c>
      <c r="E498" s="6" t="inlineStr">
        <is>
          <t>1-10</t>
        </is>
      </c>
      <c r="F498" s="6" t="n">
        <v>4</v>
      </c>
      <c r="G498" s="6" t="n">
        <v>723.55</v>
      </c>
      <c r="H498" s="6" t="inlineStr">
        <is>
          <t>Paid Ads</t>
        </is>
      </c>
      <c r="I498" s="6" t="inlineStr">
        <is>
          <t>North America</t>
        </is>
      </c>
      <c r="J498" s="7" t="n">
        <v>45325</v>
      </c>
      <c r="K498" s="6" t="inlineStr">
        <is>
          <t>No</t>
        </is>
      </c>
      <c r="L498" s="7" t="n"/>
      <c r="M498" s="6" t="n"/>
      <c r="N498" s="6" t="n">
        <v>0</v>
      </c>
      <c r="O498" s="6" t="n">
        <v>6</v>
      </c>
      <c r="P498" s="6" t="n">
        <v>47</v>
      </c>
      <c r="Q498" s="6" t="inlineStr">
        <is>
          <t>No</t>
        </is>
      </c>
      <c r="R498" s="6">
        <f>IF(K498="Yes",1,0)</f>
        <v/>
      </c>
      <c r="S498" s="6">
        <f>IF(K498="No",1,0)</f>
        <v/>
      </c>
      <c r="T498" s="6">
        <f>ROUND((IF(L498="",'Subscriptions'!$T$2,L498)-J498)/30.44,1)</f>
        <v/>
      </c>
      <c r="U498" s="6">
        <f>IF(AND(P498&lt;'Subscriptions'!$T$4,O498&lt;='Subscriptions'!$T$5),1,0)</f>
        <v/>
      </c>
    </row>
    <row r="499">
      <c r="A499" s="6" t="inlineStr">
        <is>
          <t>CUST-0498</t>
        </is>
      </c>
      <c r="B499" s="6" t="inlineStr">
        <is>
          <t>Business</t>
        </is>
      </c>
      <c r="C499" s="6" t="inlineStr">
        <is>
          <t>Annual</t>
        </is>
      </c>
      <c r="D499" s="6" t="inlineStr">
        <is>
          <t>Education</t>
        </is>
      </c>
      <c r="E499" s="6" t="inlineStr">
        <is>
          <t>11-50</t>
        </is>
      </c>
      <c r="F499" s="6" t="n">
        <v>5</v>
      </c>
      <c r="G499" s="6" t="n">
        <v>270.64</v>
      </c>
      <c r="H499" s="6" t="inlineStr">
        <is>
          <t>Social Media</t>
        </is>
      </c>
      <c r="I499" s="6" t="inlineStr">
        <is>
          <t>Europe</t>
        </is>
      </c>
      <c r="J499" s="7" t="n">
        <v>46015</v>
      </c>
      <c r="K499" s="6" t="inlineStr">
        <is>
          <t>No</t>
        </is>
      </c>
      <c r="L499" s="7" t="n"/>
      <c r="M499" s="6" t="n"/>
      <c r="N499" s="6" t="n">
        <v>3</v>
      </c>
      <c r="O499" s="6" t="n">
        <v>5</v>
      </c>
      <c r="P499" s="6" t="n">
        <v>48</v>
      </c>
      <c r="Q499" s="6" t="inlineStr">
        <is>
          <t>No</t>
        </is>
      </c>
      <c r="R499" s="6">
        <f>IF(K499="Yes",1,0)</f>
        <v/>
      </c>
      <c r="S499" s="6">
        <f>IF(K499="No",1,0)</f>
        <v/>
      </c>
      <c r="T499" s="6">
        <f>ROUND((IF(L499="",'Subscriptions'!$T$2,L499)-J499)/30.44,1)</f>
        <v/>
      </c>
      <c r="U499" s="6">
        <f>IF(AND(P499&lt;'Subscriptions'!$T$4,O499&lt;='Subscriptions'!$T$5),1,0)</f>
        <v/>
      </c>
    </row>
    <row r="500">
      <c r="A500" s="6" t="inlineStr">
        <is>
          <t>CUST-0499</t>
        </is>
      </c>
      <c r="B500" s="6" t="inlineStr">
        <is>
          <t>Business</t>
        </is>
      </c>
      <c r="C500" s="6" t="inlineStr">
        <is>
          <t>Monthly</t>
        </is>
      </c>
      <c r="D500" s="6" t="inlineStr">
        <is>
          <t>Education</t>
        </is>
      </c>
      <c r="E500" s="6" t="inlineStr">
        <is>
          <t>11-50</t>
        </is>
      </c>
      <c r="F500" s="6" t="n">
        <v>15</v>
      </c>
      <c r="G500" s="6" t="n">
        <v>616.9</v>
      </c>
      <c r="H500" s="6" t="inlineStr">
        <is>
          <t>Referral</t>
        </is>
      </c>
      <c r="I500" s="6" t="inlineStr">
        <is>
          <t>North America</t>
        </is>
      </c>
      <c r="J500" s="7" t="n">
        <v>45722</v>
      </c>
      <c r="K500" s="6" t="inlineStr">
        <is>
          <t>No</t>
        </is>
      </c>
      <c r="L500" s="7" t="n"/>
      <c r="M500" s="6" t="n"/>
      <c r="N500" s="6" t="n">
        <v>11</v>
      </c>
      <c r="O500" s="6" t="n">
        <v>10</v>
      </c>
      <c r="P500" s="6" t="n">
        <v>37</v>
      </c>
      <c r="Q500" s="6" t="inlineStr">
        <is>
          <t>No</t>
        </is>
      </c>
      <c r="R500" s="6">
        <f>IF(K500="Yes",1,0)</f>
        <v/>
      </c>
      <c r="S500" s="6">
        <f>IF(K500="No",1,0)</f>
        <v/>
      </c>
      <c r="T500" s="6">
        <f>ROUND((IF(L500="",'Subscriptions'!$T$2,L500)-J500)/30.44,1)</f>
        <v/>
      </c>
      <c r="U500" s="6">
        <f>IF(AND(P500&lt;'Subscriptions'!$T$4,O500&lt;='Subscriptions'!$T$5),1,0)</f>
        <v/>
      </c>
    </row>
    <row r="501">
      <c r="A501" s="6" t="inlineStr">
        <is>
          <t>CUST-0500</t>
        </is>
      </c>
      <c r="B501" s="6" t="inlineStr">
        <is>
          <t>Professional</t>
        </is>
      </c>
      <c r="C501" s="6" t="inlineStr">
        <is>
          <t>Monthly</t>
        </is>
      </c>
      <c r="D501" s="6" t="inlineStr">
        <is>
          <t>Media</t>
        </is>
      </c>
      <c r="E501" s="6" t="inlineStr">
        <is>
          <t>51-200</t>
        </is>
      </c>
      <c r="F501" s="6" t="n">
        <v>71</v>
      </c>
      <c r="G501" s="6" t="n">
        <v>908.5</v>
      </c>
      <c r="H501" s="6" t="inlineStr">
        <is>
          <t>Referral</t>
        </is>
      </c>
      <c r="I501" s="6" t="inlineStr">
        <is>
          <t>North America</t>
        </is>
      </c>
      <c r="J501" s="7" t="n">
        <v>45989</v>
      </c>
      <c r="K501" s="6" t="inlineStr">
        <is>
          <t>No</t>
        </is>
      </c>
      <c r="L501" s="7" t="n"/>
      <c r="M501" s="6" t="n"/>
      <c r="N501" s="6" t="n">
        <v>4</v>
      </c>
      <c r="O501" s="6" t="n">
        <v>5</v>
      </c>
      <c r="P501" s="6" t="n">
        <v>70</v>
      </c>
      <c r="Q501" s="6" t="inlineStr">
        <is>
          <t>No</t>
        </is>
      </c>
      <c r="R501" s="6">
        <f>IF(K501="Yes",1,0)</f>
        <v/>
      </c>
      <c r="S501" s="6">
        <f>IF(K501="No",1,0)</f>
        <v/>
      </c>
      <c r="T501" s="6">
        <f>ROUND((IF(L501="",'Subscriptions'!$T$2,L501)-J501)/30.44,1)</f>
        <v/>
      </c>
      <c r="U501" s="6">
        <f>IF(AND(P501&lt;'Subscriptions'!$T$4,O501&lt;='Subscriptions'!$T$5),1,0)</f>
        <v/>
      </c>
    </row>
    <row r="502">
      <c r="A502" s="6" t="inlineStr">
        <is>
          <t>CUST-0501</t>
        </is>
      </c>
      <c r="B502" s="6" t="inlineStr">
        <is>
          <t>Starter</t>
        </is>
      </c>
      <c r="C502" s="6" t="inlineStr">
        <is>
          <t>Annual</t>
        </is>
      </c>
      <c r="D502" s="6" t="inlineStr">
        <is>
          <t>Education</t>
        </is>
      </c>
      <c r="E502" s="6" t="inlineStr">
        <is>
          <t>500+</t>
        </is>
      </c>
      <c r="F502" s="6" t="n">
        <v>144</v>
      </c>
      <c r="G502" s="6" t="n">
        <v>553.39</v>
      </c>
      <c r="H502" s="6" t="inlineStr">
        <is>
          <t>Partner</t>
        </is>
      </c>
      <c r="I502" s="6" t="inlineStr">
        <is>
          <t>North America</t>
        </is>
      </c>
      <c r="J502" s="7" t="n">
        <v>45137</v>
      </c>
      <c r="K502" s="6" t="inlineStr">
        <is>
          <t>Yes</t>
        </is>
      </c>
      <c r="L502" s="7" t="n">
        <v>45319</v>
      </c>
      <c r="M502" s="6" t="inlineStr">
        <is>
          <t>Company Closed</t>
        </is>
      </c>
      <c r="N502" s="6" t="n">
        <v>6</v>
      </c>
      <c r="O502" s="6" t="n">
        <v>3</v>
      </c>
      <c r="P502" s="6" t="n">
        <v>45</v>
      </c>
      <c r="Q502" s="6" t="inlineStr">
        <is>
          <t>No</t>
        </is>
      </c>
      <c r="R502" s="6">
        <f>IF(K502="Yes",1,0)</f>
        <v/>
      </c>
      <c r="S502" s="6">
        <f>IF(K502="No",1,0)</f>
        <v/>
      </c>
      <c r="T502" s="6">
        <f>ROUND((IF(L502="",'Subscriptions'!$T$2,L502)-J502)/30.44,1)</f>
        <v/>
      </c>
      <c r="U502" s="6">
        <f>IF(AND(P502&lt;'Subscriptions'!$T$4,O502&lt;='Subscriptions'!$T$5),1,0)</f>
        <v/>
      </c>
    </row>
    <row r="503">
      <c r="A503" s="6" t="inlineStr">
        <is>
          <t>CUST-0502</t>
        </is>
      </c>
      <c r="B503" s="6" t="inlineStr">
        <is>
          <t>Professional</t>
        </is>
      </c>
      <c r="C503" s="6" t="inlineStr">
        <is>
          <t>Annual</t>
        </is>
      </c>
      <c r="D503" s="6" t="inlineStr">
        <is>
          <t>Retail</t>
        </is>
      </c>
      <c r="E503" s="6" t="inlineStr">
        <is>
          <t>11-50</t>
        </is>
      </c>
      <c r="F503" s="6" t="n">
        <v>32</v>
      </c>
      <c r="G503" s="6" t="n">
        <v>379.4</v>
      </c>
      <c r="H503" s="6" t="inlineStr">
        <is>
          <t>Referral</t>
        </is>
      </c>
      <c r="I503" s="6" t="inlineStr">
        <is>
          <t>Europe</t>
        </is>
      </c>
      <c r="J503" s="7" t="n">
        <v>45593</v>
      </c>
      <c r="K503" s="6" t="inlineStr">
        <is>
          <t>No</t>
        </is>
      </c>
      <c r="L503" s="7" t="n"/>
      <c r="M503" s="6" t="n"/>
      <c r="N503" s="6" t="n">
        <v>5</v>
      </c>
      <c r="O503" s="6" t="n">
        <v>9</v>
      </c>
      <c r="P503" s="6" t="n">
        <v>36</v>
      </c>
      <c r="Q503" s="6" t="inlineStr">
        <is>
          <t>No</t>
        </is>
      </c>
      <c r="R503" s="6">
        <f>IF(K503="Yes",1,0)</f>
        <v/>
      </c>
      <c r="S503" s="6">
        <f>IF(K503="No",1,0)</f>
        <v/>
      </c>
      <c r="T503" s="6">
        <f>ROUND((IF(L503="",'Subscriptions'!$T$2,L503)-J503)/30.44,1)</f>
        <v/>
      </c>
      <c r="U503" s="6">
        <f>IF(AND(P503&lt;'Subscriptions'!$T$4,O503&lt;='Subscriptions'!$T$5),1,0)</f>
        <v/>
      </c>
    </row>
    <row r="504">
      <c r="A504" s="6" t="inlineStr">
        <is>
          <t>CUST-0503</t>
        </is>
      </c>
      <c r="B504" s="6" t="inlineStr">
        <is>
          <t>Enterprise</t>
        </is>
      </c>
      <c r="C504" s="6" t="inlineStr">
        <is>
          <t>Annual</t>
        </is>
      </c>
      <c r="D504" s="6" t="inlineStr">
        <is>
          <t>Real Estate</t>
        </is>
      </c>
      <c r="E504" s="6" t="inlineStr">
        <is>
          <t>11-50</t>
        </is>
      </c>
      <c r="F504" s="6" t="n">
        <v>23</v>
      </c>
      <c r="G504" s="6" t="n">
        <v>1823.84</v>
      </c>
      <c r="H504" s="6" t="inlineStr">
        <is>
          <t>Organic Search</t>
        </is>
      </c>
      <c r="I504" s="6" t="inlineStr">
        <is>
          <t>Latin America</t>
        </is>
      </c>
      <c r="J504" s="7" t="n">
        <v>45677</v>
      </c>
      <c r="K504" s="6" t="inlineStr">
        <is>
          <t>No</t>
        </is>
      </c>
      <c r="L504" s="7" t="n"/>
      <c r="M504" s="6" t="n"/>
      <c r="N504" s="6" t="n">
        <v>10</v>
      </c>
      <c r="O504" s="6" t="n">
        <v>7</v>
      </c>
      <c r="P504" s="6" t="n">
        <v>16</v>
      </c>
      <c r="Q504" s="6" t="inlineStr">
        <is>
          <t>No</t>
        </is>
      </c>
      <c r="R504" s="6">
        <f>IF(K504="Yes",1,0)</f>
        <v/>
      </c>
      <c r="S504" s="6">
        <f>IF(K504="No",1,0)</f>
        <v/>
      </c>
      <c r="T504" s="6">
        <f>ROUND((IF(L504="",'Subscriptions'!$T$2,L504)-J504)/30.44,1)</f>
        <v/>
      </c>
      <c r="U504" s="6">
        <f>IF(AND(P504&lt;'Subscriptions'!$T$4,O504&lt;='Subscriptions'!$T$5),1,0)</f>
        <v/>
      </c>
    </row>
    <row r="505">
      <c r="A505" s="6" t="inlineStr">
        <is>
          <t>CUST-0504</t>
        </is>
      </c>
      <c r="B505" s="6" t="inlineStr">
        <is>
          <t>Starter</t>
        </is>
      </c>
      <c r="C505" s="6" t="inlineStr">
        <is>
          <t>Monthly</t>
        </is>
      </c>
      <c r="D505" s="6" t="inlineStr">
        <is>
          <t>Retail</t>
        </is>
      </c>
      <c r="E505" s="6" t="inlineStr">
        <is>
          <t>11-50</t>
        </is>
      </c>
      <c r="F505" s="6" t="n">
        <v>15</v>
      </c>
      <c r="G505" s="6" t="n">
        <v>89.90000000000001</v>
      </c>
      <c r="H505" s="6" t="inlineStr">
        <is>
          <t>Organic Search</t>
        </is>
      </c>
      <c r="I505" s="6" t="inlineStr">
        <is>
          <t>Europe</t>
        </is>
      </c>
      <c r="J505" s="7" t="n">
        <v>45759</v>
      </c>
      <c r="K505" s="6" t="inlineStr">
        <is>
          <t>Yes</t>
        </is>
      </c>
      <c r="L505" s="7" t="n">
        <v>45785</v>
      </c>
      <c r="M505" s="6" t="inlineStr">
        <is>
          <t>Budget Cuts</t>
        </is>
      </c>
      <c r="N505" s="6" t="n">
        <v>14</v>
      </c>
      <c r="O505" s="6" t="n">
        <v>3</v>
      </c>
      <c r="P505" s="6" t="n">
        <v>26</v>
      </c>
      <c r="Q505" s="6" t="inlineStr">
        <is>
          <t>No</t>
        </is>
      </c>
      <c r="R505" s="6">
        <f>IF(K505="Yes",1,0)</f>
        <v/>
      </c>
      <c r="S505" s="6">
        <f>IF(K505="No",1,0)</f>
        <v/>
      </c>
      <c r="T505" s="6">
        <f>ROUND((IF(L505="",'Subscriptions'!$T$2,L505)-J505)/30.44,1)</f>
        <v/>
      </c>
      <c r="U505" s="6">
        <f>IF(AND(P505&lt;'Subscriptions'!$T$4,O505&lt;='Subscriptions'!$T$5),1,0)</f>
        <v/>
      </c>
    </row>
    <row r="506">
      <c r="A506" s="6" t="inlineStr">
        <is>
          <t>CUST-0505</t>
        </is>
      </c>
      <c r="B506" s="6" t="inlineStr">
        <is>
          <t>Business</t>
        </is>
      </c>
      <c r="C506" s="6" t="inlineStr">
        <is>
          <t>Monthly</t>
        </is>
      </c>
      <c r="D506" s="6" t="inlineStr">
        <is>
          <t>Technology</t>
        </is>
      </c>
      <c r="E506" s="6" t="inlineStr">
        <is>
          <t>51-200</t>
        </is>
      </c>
      <c r="F506" s="6" t="n">
        <v>49</v>
      </c>
      <c r="G506" s="6" t="n">
        <v>1631.8</v>
      </c>
      <c r="H506" s="6" t="inlineStr">
        <is>
          <t>Referral</t>
        </is>
      </c>
      <c r="I506" s="6" t="inlineStr">
        <is>
          <t>North America</t>
        </is>
      </c>
      <c r="J506" s="7" t="n">
        <v>44693</v>
      </c>
      <c r="K506" s="6" t="inlineStr">
        <is>
          <t>Yes</t>
        </is>
      </c>
      <c r="L506" s="7" t="n">
        <v>45142</v>
      </c>
      <c r="M506" s="6" t="inlineStr">
        <is>
          <t>Budget Cuts</t>
        </is>
      </c>
      <c r="N506" s="6" t="n">
        <v>10</v>
      </c>
      <c r="O506" s="6" t="n">
        <v>6</v>
      </c>
      <c r="P506" s="6" t="n">
        <v>16</v>
      </c>
      <c r="Q506" s="6" t="inlineStr">
        <is>
          <t>No</t>
        </is>
      </c>
      <c r="R506" s="6">
        <f>IF(K506="Yes",1,0)</f>
        <v/>
      </c>
      <c r="S506" s="6">
        <f>IF(K506="No",1,0)</f>
        <v/>
      </c>
      <c r="T506" s="6">
        <f>ROUND((IF(L506="",'Subscriptions'!$T$2,L506)-J506)/30.44,1)</f>
        <v/>
      </c>
      <c r="U506" s="6">
        <f>IF(AND(P506&lt;'Subscriptions'!$T$4,O506&lt;='Subscriptions'!$T$5),1,0)</f>
        <v/>
      </c>
    </row>
    <row r="507">
      <c r="A507" s="6" t="inlineStr">
        <is>
          <t>CUST-0506</t>
        </is>
      </c>
      <c r="B507" s="6" t="inlineStr">
        <is>
          <t>Starter</t>
        </is>
      </c>
      <c r="C507" s="6" t="inlineStr">
        <is>
          <t>Monthly</t>
        </is>
      </c>
      <c r="D507" s="6" t="inlineStr">
        <is>
          <t>Technology</t>
        </is>
      </c>
      <c r="E507" s="6" t="inlineStr">
        <is>
          <t>11-50</t>
        </is>
      </c>
      <c r="F507" s="6" t="n">
        <v>26</v>
      </c>
      <c r="G507" s="6" t="n">
        <v>137.75</v>
      </c>
      <c r="H507" s="6" t="inlineStr">
        <is>
          <t>Organic Search</t>
        </is>
      </c>
      <c r="I507" s="6" t="inlineStr">
        <is>
          <t>Latin America</t>
        </is>
      </c>
      <c r="J507" s="7" t="n">
        <v>45604</v>
      </c>
      <c r="K507" s="6" t="inlineStr">
        <is>
          <t>Yes</t>
        </is>
      </c>
      <c r="L507" s="7" t="n">
        <v>45894</v>
      </c>
      <c r="M507" s="6" t="inlineStr">
        <is>
          <t>No Longer Needed</t>
        </is>
      </c>
      <c r="N507" s="6" t="n">
        <v>12</v>
      </c>
      <c r="O507" s="6" t="n">
        <v>2</v>
      </c>
      <c r="P507" s="6" t="n">
        <v>26</v>
      </c>
      <c r="Q507" s="6" t="inlineStr">
        <is>
          <t>No</t>
        </is>
      </c>
      <c r="R507" s="6">
        <f>IF(K507="Yes",1,0)</f>
        <v/>
      </c>
      <c r="S507" s="6">
        <f>IF(K507="No",1,0)</f>
        <v/>
      </c>
      <c r="T507" s="6">
        <f>ROUND((IF(L507="",'Subscriptions'!$T$2,L507)-J507)/30.44,1)</f>
        <v/>
      </c>
      <c r="U507" s="6">
        <f>IF(AND(P507&lt;'Subscriptions'!$T$4,O507&lt;='Subscriptions'!$T$5),1,0)</f>
        <v/>
      </c>
    </row>
    <row r="508">
      <c r="A508" s="6" t="inlineStr">
        <is>
          <t>CUST-0507</t>
        </is>
      </c>
      <c r="B508" s="6" t="inlineStr">
        <is>
          <t>Business</t>
        </is>
      </c>
      <c r="C508" s="6" t="inlineStr">
        <is>
          <t>Annual</t>
        </is>
      </c>
      <c r="D508" s="6" t="inlineStr">
        <is>
          <t>Manufacturing</t>
        </is>
      </c>
      <c r="E508" s="6" t="inlineStr">
        <is>
          <t>11-50</t>
        </is>
      </c>
      <c r="F508" s="6" t="n">
        <v>35</v>
      </c>
      <c r="G508" s="6" t="n">
        <v>1031.82</v>
      </c>
      <c r="H508" s="6" t="inlineStr">
        <is>
          <t>Partner</t>
        </is>
      </c>
      <c r="I508" s="6" t="inlineStr">
        <is>
          <t>North America</t>
        </is>
      </c>
      <c r="J508" s="7" t="n">
        <v>45768</v>
      </c>
      <c r="K508" s="6" t="inlineStr">
        <is>
          <t>No</t>
        </is>
      </c>
      <c r="L508" s="7" t="n"/>
      <c r="M508" s="6" t="n"/>
      <c r="N508" s="6" t="n">
        <v>2</v>
      </c>
      <c r="O508" s="6" t="n">
        <v>6</v>
      </c>
      <c r="P508" s="6" t="n">
        <v>70</v>
      </c>
      <c r="Q508" s="6" t="inlineStr">
        <is>
          <t>Yes</t>
        </is>
      </c>
      <c r="R508" s="6">
        <f>IF(K508="Yes",1,0)</f>
        <v/>
      </c>
      <c r="S508" s="6">
        <f>IF(K508="No",1,0)</f>
        <v/>
      </c>
      <c r="T508" s="6">
        <f>ROUND((IF(L508="",'Subscriptions'!$T$2,L508)-J508)/30.44,1)</f>
        <v/>
      </c>
      <c r="U508" s="6">
        <f>IF(AND(P508&lt;'Subscriptions'!$T$4,O508&lt;='Subscriptions'!$T$5),1,0)</f>
        <v/>
      </c>
    </row>
    <row r="509">
      <c r="A509" s="6" t="inlineStr">
        <is>
          <t>CUST-0508</t>
        </is>
      </c>
      <c r="B509" s="6" t="inlineStr">
        <is>
          <t>Starter</t>
        </is>
      </c>
      <c r="C509" s="6" t="inlineStr">
        <is>
          <t>Annual</t>
        </is>
      </c>
      <c r="D509" s="6" t="inlineStr">
        <is>
          <t>Finance</t>
        </is>
      </c>
      <c r="E509" s="6" t="inlineStr">
        <is>
          <t>51-200</t>
        </is>
      </c>
      <c r="F509" s="6" t="n">
        <v>54</v>
      </c>
      <c r="G509" s="6" t="n">
        <v>220.62</v>
      </c>
      <c r="H509" s="6" t="inlineStr">
        <is>
          <t>Referral</t>
        </is>
      </c>
      <c r="I509" s="6" t="inlineStr">
        <is>
          <t>Asia Pacific</t>
        </is>
      </c>
      <c r="J509" s="7" t="n">
        <v>44630</v>
      </c>
      <c r="K509" s="6" t="inlineStr">
        <is>
          <t>Yes</t>
        </is>
      </c>
      <c r="L509" s="7" t="n">
        <v>44874</v>
      </c>
      <c r="M509" s="6" t="inlineStr">
        <is>
          <t>Company Closed</t>
        </is>
      </c>
      <c r="N509" s="6" t="n">
        <v>3</v>
      </c>
      <c r="O509" s="6" t="n">
        <v>2</v>
      </c>
      <c r="P509" s="6" t="n">
        <v>33</v>
      </c>
      <c r="Q509" s="6" t="inlineStr">
        <is>
          <t>No</t>
        </is>
      </c>
      <c r="R509" s="6">
        <f>IF(K509="Yes",1,0)</f>
        <v/>
      </c>
      <c r="S509" s="6">
        <f>IF(K509="No",1,0)</f>
        <v/>
      </c>
      <c r="T509" s="6">
        <f>ROUND((IF(L509="",'Subscriptions'!$T$2,L509)-J509)/30.44,1)</f>
        <v/>
      </c>
      <c r="U509" s="6">
        <f>IF(AND(P509&lt;'Subscriptions'!$T$4,O509&lt;='Subscriptions'!$T$5),1,0)</f>
        <v/>
      </c>
    </row>
    <row r="510">
      <c r="A510" s="6" t="inlineStr">
        <is>
          <t>CUST-0509</t>
        </is>
      </c>
      <c r="B510" s="6" t="inlineStr">
        <is>
          <t>Starter</t>
        </is>
      </c>
      <c r="C510" s="6" t="inlineStr">
        <is>
          <t>Monthly</t>
        </is>
      </c>
      <c r="D510" s="6" t="inlineStr">
        <is>
          <t>Education</t>
        </is>
      </c>
      <c r="E510" s="6" t="inlineStr">
        <is>
          <t>500+</t>
        </is>
      </c>
      <c r="F510" s="6" t="n">
        <v>56</v>
      </c>
      <c r="G510" s="6" t="n">
        <v>268.25</v>
      </c>
      <c r="H510" s="6" t="inlineStr">
        <is>
          <t>Referral</t>
        </is>
      </c>
      <c r="I510" s="6" t="inlineStr">
        <is>
          <t>Latin America</t>
        </is>
      </c>
      <c r="J510" s="7" t="n">
        <v>45058</v>
      </c>
      <c r="K510" s="6" t="inlineStr">
        <is>
          <t>Yes</t>
        </is>
      </c>
      <c r="L510" s="7" t="n">
        <v>45111</v>
      </c>
      <c r="M510" s="6" t="inlineStr">
        <is>
          <t>Switched Competitor</t>
        </is>
      </c>
      <c r="N510" s="6" t="n">
        <v>12</v>
      </c>
      <c r="O510" s="6" t="n">
        <v>2</v>
      </c>
      <c r="P510" s="6" t="n">
        <v>17</v>
      </c>
      <c r="Q510" s="6" t="inlineStr">
        <is>
          <t>No</t>
        </is>
      </c>
      <c r="R510" s="6">
        <f>IF(K510="Yes",1,0)</f>
        <v/>
      </c>
      <c r="S510" s="6">
        <f>IF(K510="No",1,0)</f>
        <v/>
      </c>
      <c r="T510" s="6">
        <f>ROUND((IF(L510="",'Subscriptions'!$T$2,L510)-J510)/30.44,1)</f>
        <v/>
      </c>
      <c r="U510" s="6">
        <f>IF(AND(P510&lt;'Subscriptions'!$T$4,O510&lt;='Subscriptions'!$T$5),1,0)</f>
        <v/>
      </c>
    </row>
    <row r="511">
      <c r="A511" s="6" t="inlineStr">
        <is>
          <t>CUST-0510</t>
        </is>
      </c>
      <c r="B511" s="6" t="inlineStr">
        <is>
          <t>Business</t>
        </is>
      </c>
      <c r="C511" s="6" t="inlineStr">
        <is>
          <t>Monthly</t>
        </is>
      </c>
      <c r="D511" s="6" t="inlineStr">
        <is>
          <t>Education</t>
        </is>
      </c>
      <c r="E511" s="6" t="inlineStr">
        <is>
          <t>11-50</t>
        </is>
      </c>
      <c r="F511" s="6" t="n">
        <v>27</v>
      </c>
      <c r="G511" s="6" t="n">
        <v>975.1</v>
      </c>
      <c r="H511" s="6" t="inlineStr">
        <is>
          <t>Referral</t>
        </is>
      </c>
      <c r="I511" s="6" t="inlineStr">
        <is>
          <t>Asia Pacific</t>
        </is>
      </c>
      <c r="J511" s="7" t="n">
        <v>45530</v>
      </c>
      <c r="K511" s="6" t="inlineStr">
        <is>
          <t>Yes</t>
        </is>
      </c>
      <c r="L511" s="7" t="n">
        <v>45754</v>
      </c>
      <c r="M511" s="6" t="inlineStr">
        <is>
          <t>Switched Competitor</t>
        </is>
      </c>
      <c r="N511" s="6" t="n">
        <v>9</v>
      </c>
      <c r="O511" s="6" t="n">
        <v>2</v>
      </c>
      <c r="P511" s="6" t="n">
        <v>24</v>
      </c>
      <c r="Q511" s="6" t="inlineStr">
        <is>
          <t>No</t>
        </is>
      </c>
      <c r="R511" s="6">
        <f>IF(K511="Yes",1,0)</f>
        <v/>
      </c>
      <c r="S511" s="6">
        <f>IF(K511="No",1,0)</f>
        <v/>
      </c>
      <c r="T511" s="6">
        <f>ROUND((IF(L511="",'Subscriptions'!$T$2,L511)-J511)/30.44,1)</f>
        <v/>
      </c>
      <c r="U511" s="6">
        <f>IF(AND(P511&lt;'Subscriptions'!$T$4,O511&lt;='Subscriptions'!$T$5),1,0)</f>
        <v/>
      </c>
    </row>
    <row r="512">
      <c r="A512" s="6" t="inlineStr">
        <is>
          <t>CUST-0511</t>
        </is>
      </c>
      <c r="B512" s="6" t="inlineStr">
        <is>
          <t>Professional</t>
        </is>
      </c>
      <c r="C512" s="6" t="inlineStr">
        <is>
          <t>Monthly</t>
        </is>
      </c>
      <c r="D512" s="6" t="inlineStr">
        <is>
          <t>Education</t>
        </is>
      </c>
      <c r="E512" s="6" t="inlineStr">
        <is>
          <t>11-50</t>
        </is>
      </c>
      <c r="F512" s="6" t="n">
        <v>25</v>
      </c>
      <c r="G512" s="6" t="n">
        <v>363.4</v>
      </c>
      <c r="H512" s="6" t="inlineStr">
        <is>
          <t>Paid Ads</t>
        </is>
      </c>
      <c r="I512" s="6" t="inlineStr">
        <is>
          <t>North America</t>
        </is>
      </c>
      <c r="J512" s="7" t="n">
        <v>45923</v>
      </c>
      <c r="K512" s="6" t="inlineStr">
        <is>
          <t>No</t>
        </is>
      </c>
      <c r="L512" s="7" t="n"/>
      <c r="M512" s="6" t="n"/>
      <c r="N512" s="6" t="n">
        <v>6</v>
      </c>
      <c r="O512" s="6" t="n">
        <v>4</v>
      </c>
      <c r="P512" s="6" t="n">
        <v>30</v>
      </c>
      <c r="Q512" s="6" t="inlineStr">
        <is>
          <t>No</t>
        </is>
      </c>
      <c r="R512" s="6">
        <f>IF(K512="Yes",1,0)</f>
        <v/>
      </c>
      <c r="S512" s="6">
        <f>IF(K512="No",1,0)</f>
        <v/>
      </c>
      <c r="T512" s="6">
        <f>ROUND((IF(L512="",'Subscriptions'!$T$2,L512)-J512)/30.44,1)</f>
        <v/>
      </c>
      <c r="U512" s="6">
        <f>IF(AND(P512&lt;'Subscriptions'!$T$4,O512&lt;='Subscriptions'!$T$5),1,0)</f>
        <v/>
      </c>
    </row>
    <row r="513">
      <c r="A513" s="6" t="inlineStr">
        <is>
          <t>CUST-0512</t>
        </is>
      </c>
      <c r="B513" s="6" t="inlineStr">
        <is>
          <t>Starter</t>
        </is>
      </c>
      <c r="C513" s="6" t="inlineStr">
        <is>
          <t>Annual</t>
        </is>
      </c>
      <c r="D513" s="6" t="inlineStr">
        <is>
          <t>Consulting</t>
        </is>
      </c>
      <c r="E513" s="6" t="inlineStr">
        <is>
          <t>51-200</t>
        </is>
      </c>
      <c r="F513" s="6" t="n">
        <v>26</v>
      </c>
      <c r="G513" s="6" t="n">
        <v>117.09</v>
      </c>
      <c r="H513" s="6" t="inlineStr">
        <is>
          <t>Referral</t>
        </is>
      </c>
      <c r="I513" s="6" t="inlineStr">
        <is>
          <t>Europe</t>
        </is>
      </c>
      <c r="J513" s="7" t="n">
        <v>44943</v>
      </c>
      <c r="K513" s="6" t="inlineStr">
        <is>
          <t>Yes</t>
        </is>
      </c>
      <c r="L513" s="7" t="n">
        <v>45085</v>
      </c>
      <c r="M513" s="6" t="inlineStr">
        <is>
          <t>Budget Cuts</t>
        </is>
      </c>
      <c r="N513" s="6" t="n">
        <v>15</v>
      </c>
      <c r="O513" s="6" t="n">
        <v>2</v>
      </c>
      <c r="P513" s="6" t="n">
        <v>36</v>
      </c>
      <c r="Q513" s="6" t="inlineStr">
        <is>
          <t>No</t>
        </is>
      </c>
      <c r="R513" s="6">
        <f>IF(K513="Yes",1,0)</f>
        <v/>
      </c>
      <c r="S513" s="6">
        <f>IF(K513="No",1,0)</f>
        <v/>
      </c>
      <c r="T513" s="6">
        <f>ROUND((IF(L513="",'Subscriptions'!$T$2,L513)-J513)/30.44,1)</f>
        <v/>
      </c>
      <c r="U513" s="6">
        <f>IF(AND(P513&lt;'Subscriptions'!$T$4,O513&lt;='Subscriptions'!$T$5),1,0)</f>
        <v/>
      </c>
    </row>
    <row r="514">
      <c r="A514" s="6" t="inlineStr">
        <is>
          <t>CUST-0513</t>
        </is>
      </c>
      <c r="B514" s="6" t="inlineStr">
        <is>
          <t>Professional</t>
        </is>
      </c>
      <c r="C514" s="6" t="inlineStr">
        <is>
          <t>Annual</t>
        </is>
      </c>
      <c r="D514" s="6" t="inlineStr">
        <is>
          <t>Education</t>
        </is>
      </c>
      <c r="E514" s="6" t="inlineStr">
        <is>
          <t>1-10</t>
        </is>
      </c>
      <c r="F514" s="6" t="n">
        <v>8</v>
      </c>
      <c r="G514" s="6" t="n">
        <v>137.66</v>
      </c>
      <c r="H514" s="6" t="inlineStr">
        <is>
          <t>Referral</t>
        </is>
      </c>
      <c r="I514" s="6" t="inlineStr">
        <is>
          <t>North America</t>
        </is>
      </c>
      <c r="J514" s="7" t="n">
        <v>45311</v>
      </c>
      <c r="K514" s="6" t="inlineStr">
        <is>
          <t>Yes</t>
        </is>
      </c>
      <c r="L514" s="7" t="n">
        <v>45323</v>
      </c>
      <c r="M514" s="6" t="inlineStr">
        <is>
          <t>Company Closed</t>
        </is>
      </c>
      <c r="N514" s="6" t="n">
        <v>6</v>
      </c>
      <c r="O514" s="6" t="n">
        <v>5</v>
      </c>
      <c r="P514" s="6" t="n">
        <v>13</v>
      </c>
      <c r="Q514" s="6" t="inlineStr">
        <is>
          <t>No</t>
        </is>
      </c>
      <c r="R514" s="6">
        <f>IF(K514="Yes",1,0)</f>
        <v/>
      </c>
      <c r="S514" s="6">
        <f>IF(K514="No",1,0)</f>
        <v/>
      </c>
      <c r="T514" s="6">
        <f>ROUND((IF(L514="",'Subscriptions'!$T$2,L514)-J514)/30.44,1)</f>
        <v/>
      </c>
      <c r="U514" s="6">
        <f>IF(AND(P514&lt;'Subscriptions'!$T$4,O514&lt;='Subscriptions'!$T$5),1,0)</f>
        <v/>
      </c>
    </row>
    <row r="515">
      <c r="A515" s="6" t="inlineStr">
        <is>
          <t>CUST-0514</t>
        </is>
      </c>
      <c r="B515" s="6" t="inlineStr">
        <is>
          <t>Business</t>
        </is>
      </c>
      <c r="C515" s="6" t="inlineStr">
        <is>
          <t>Monthly</t>
        </is>
      </c>
      <c r="D515" s="6" t="inlineStr">
        <is>
          <t>Finance</t>
        </is>
      </c>
      <c r="E515" s="6" t="inlineStr">
        <is>
          <t>201-500</t>
        </is>
      </c>
      <c r="F515" s="6" t="n">
        <v>68</v>
      </c>
      <c r="G515" s="6" t="n">
        <v>2198.95</v>
      </c>
      <c r="H515" s="6" t="inlineStr">
        <is>
          <t>Paid Ads</t>
        </is>
      </c>
      <c r="I515" s="6" t="inlineStr">
        <is>
          <t>Latin America</t>
        </is>
      </c>
      <c r="J515" s="7" t="n">
        <v>45318</v>
      </c>
      <c r="K515" s="6" t="inlineStr">
        <is>
          <t>Yes</t>
        </is>
      </c>
      <c r="L515" s="7" t="n">
        <v>45462</v>
      </c>
      <c r="M515" s="6" t="inlineStr">
        <is>
          <t>Budget Cuts</t>
        </is>
      </c>
      <c r="N515" s="6" t="n">
        <v>15</v>
      </c>
      <c r="O515" s="6" t="n">
        <v>1</v>
      </c>
      <c r="P515" s="6" t="n">
        <v>19</v>
      </c>
      <c r="Q515" s="6" t="inlineStr">
        <is>
          <t>No</t>
        </is>
      </c>
      <c r="R515" s="6">
        <f>IF(K515="Yes",1,0)</f>
        <v/>
      </c>
      <c r="S515" s="6">
        <f>IF(K515="No",1,0)</f>
        <v/>
      </c>
      <c r="T515" s="6">
        <f>ROUND((IF(L515="",'Subscriptions'!$T$2,L515)-J515)/30.44,1)</f>
        <v/>
      </c>
      <c r="U515" s="6">
        <f>IF(AND(P515&lt;'Subscriptions'!$T$4,O515&lt;='Subscriptions'!$T$5),1,0)</f>
        <v/>
      </c>
    </row>
    <row r="516">
      <c r="A516" s="6" t="inlineStr">
        <is>
          <t>CUST-0515</t>
        </is>
      </c>
      <c r="B516" s="6" t="inlineStr">
        <is>
          <t>Enterprise</t>
        </is>
      </c>
      <c r="C516" s="6" t="inlineStr">
        <is>
          <t>Monthly</t>
        </is>
      </c>
      <c r="D516" s="6" t="inlineStr">
        <is>
          <t>Finance</t>
        </is>
      </c>
      <c r="E516" s="6" t="inlineStr">
        <is>
          <t>1-10</t>
        </is>
      </c>
      <c r="F516" s="6" t="n">
        <v>2</v>
      </c>
      <c r="G516" s="6" t="n">
        <v>573.85</v>
      </c>
      <c r="H516" s="6" t="inlineStr">
        <is>
          <t>Organic Search</t>
        </is>
      </c>
      <c r="I516" s="6" t="inlineStr">
        <is>
          <t>North America</t>
        </is>
      </c>
      <c r="J516" s="7" t="n">
        <v>44652</v>
      </c>
      <c r="K516" s="6" t="inlineStr">
        <is>
          <t>No</t>
        </is>
      </c>
      <c r="L516" s="7" t="n"/>
      <c r="M516" s="6" t="n"/>
      <c r="N516" s="6" t="n">
        <v>7</v>
      </c>
      <c r="O516" s="6" t="n">
        <v>8</v>
      </c>
      <c r="P516" s="6" t="n">
        <v>28</v>
      </c>
      <c r="Q516" s="6" t="inlineStr">
        <is>
          <t>No</t>
        </is>
      </c>
      <c r="R516" s="6">
        <f>IF(K516="Yes",1,0)</f>
        <v/>
      </c>
      <c r="S516" s="6">
        <f>IF(K516="No",1,0)</f>
        <v/>
      </c>
      <c r="T516" s="6">
        <f>ROUND((IF(L516="",'Subscriptions'!$T$2,L516)-J516)/30.44,1)</f>
        <v/>
      </c>
      <c r="U516" s="6">
        <f>IF(AND(P516&lt;'Subscriptions'!$T$4,O516&lt;='Subscriptions'!$T$5),1,0)</f>
        <v/>
      </c>
    </row>
    <row r="517">
      <c r="A517" s="6" t="inlineStr">
        <is>
          <t>CUST-0516</t>
        </is>
      </c>
      <c r="B517" s="6" t="inlineStr">
        <is>
          <t>Business</t>
        </is>
      </c>
      <c r="C517" s="6" t="inlineStr">
        <is>
          <t>Monthly</t>
        </is>
      </c>
      <c r="D517" s="6" t="inlineStr">
        <is>
          <t>Education</t>
        </is>
      </c>
      <c r="E517" s="6" t="inlineStr">
        <is>
          <t>51-200</t>
        </is>
      </c>
      <c r="F517" s="6" t="n">
        <v>42</v>
      </c>
      <c r="G517" s="6" t="n">
        <v>1422.85</v>
      </c>
      <c r="H517" s="6" t="inlineStr">
        <is>
          <t>Partner</t>
        </is>
      </c>
      <c r="I517" s="6" t="inlineStr">
        <is>
          <t>Europe</t>
        </is>
      </c>
      <c r="J517" s="7" t="n">
        <v>45612</v>
      </c>
      <c r="K517" s="6" t="inlineStr">
        <is>
          <t>No</t>
        </is>
      </c>
      <c r="L517" s="7" t="n"/>
      <c r="M517" s="6" t="n"/>
      <c r="N517" s="6" t="n">
        <v>10</v>
      </c>
      <c r="O517" s="6" t="n">
        <v>2</v>
      </c>
      <c r="P517" s="6" t="n">
        <v>17</v>
      </c>
      <c r="Q517" s="6" t="inlineStr">
        <is>
          <t>No</t>
        </is>
      </c>
      <c r="R517" s="6">
        <f>IF(K517="Yes",1,0)</f>
        <v/>
      </c>
      <c r="S517" s="6">
        <f>IF(K517="No",1,0)</f>
        <v/>
      </c>
      <c r="T517" s="6">
        <f>ROUND((IF(L517="",'Subscriptions'!$T$2,L517)-J517)/30.44,1)</f>
        <v/>
      </c>
      <c r="U517" s="6">
        <f>IF(AND(P517&lt;'Subscriptions'!$T$4,O517&lt;='Subscriptions'!$T$5),1,0)</f>
        <v/>
      </c>
    </row>
    <row r="518">
      <c r="A518" s="6" t="inlineStr">
        <is>
          <t>CUST-0517</t>
        </is>
      </c>
      <c r="B518" s="6" t="inlineStr">
        <is>
          <t>Professional</t>
        </is>
      </c>
      <c r="C518" s="6" t="inlineStr">
        <is>
          <t>Monthly</t>
        </is>
      </c>
      <c r="D518" s="6" t="inlineStr">
        <is>
          <t>Healthcare</t>
        </is>
      </c>
      <c r="E518" s="6" t="inlineStr">
        <is>
          <t>51-200</t>
        </is>
      </c>
      <c r="F518" s="6" t="n">
        <v>59</v>
      </c>
      <c r="G518" s="6" t="n">
        <v>766.3</v>
      </c>
      <c r="H518" s="6" t="inlineStr">
        <is>
          <t>Social Media</t>
        </is>
      </c>
      <c r="I518" s="6" t="inlineStr">
        <is>
          <t>Europe</t>
        </is>
      </c>
      <c r="J518" s="7" t="n">
        <v>45412</v>
      </c>
      <c r="K518" s="6" t="inlineStr">
        <is>
          <t>Yes</t>
        </is>
      </c>
      <c r="L518" s="7" t="n">
        <v>45579</v>
      </c>
      <c r="M518" s="6" t="inlineStr">
        <is>
          <t>Company Closed</t>
        </is>
      </c>
      <c r="N518" s="6" t="n">
        <v>12</v>
      </c>
      <c r="O518" s="6" t="n">
        <v>4</v>
      </c>
      <c r="P518" s="6" t="n">
        <v>42</v>
      </c>
      <c r="Q518" s="6" t="inlineStr">
        <is>
          <t>No</t>
        </is>
      </c>
      <c r="R518" s="6">
        <f>IF(K518="Yes",1,0)</f>
        <v/>
      </c>
      <c r="S518" s="6">
        <f>IF(K518="No",1,0)</f>
        <v/>
      </c>
      <c r="T518" s="6">
        <f>ROUND((IF(L518="",'Subscriptions'!$T$2,L518)-J518)/30.44,1)</f>
        <v/>
      </c>
      <c r="U518" s="6">
        <f>IF(AND(P518&lt;'Subscriptions'!$T$4,O518&lt;='Subscriptions'!$T$5),1,0)</f>
        <v/>
      </c>
    </row>
    <row r="519">
      <c r="A519" s="6" t="inlineStr">
        <is>
          <t>CUST-0518</t>
        </is>
      </c>
      <c r="B519" s="6" t="inlineStr">
        <is>
          <t>Starter</t>
        </is>
      </c>
      <c r="C519" s="6" t="inlineStr">
        <is>
          <t>Annual</t>
        </is>
      </c>
      <c r="D519" s="6" t="inlineStr">
        <is>
          <t>Manufacturing</t>
        </is>
      </c>
      <c r="E519" s="6" t="inlineStr">
        <is>
          <t>11-50</t>
        </is>
      </c>
      <c r="F519" s="6" t="n">
        <v>21</v>
      </c>
      <c r="G519" s="6" t="n">
        <v>98.59999999999999</v>
      </c>
      <c r="H519" s="6" t="inlineStr">
        <is>
          <t>Paid Ads</t>
        </is>
      </c>
      <c r="I519" s="6" t="inlineStr">
        <is>
          <t>North America</t>
        </is>
      </c>
      <c r="J519" s="7" t="n">
        <v>45797</v>
      </c>
      <c r="K519" s="6" t="inlineStr">
        <is>
          <t>No</t>
        </is>
      </c>
      <c r="L519" s="7" t="n"/>
      <c r="M519" s="6" t="n"/>
      <c r="N519" s="6" t="n">
        <v>4</v>
      </c>
      <c r="O519" s="6" t="n">
        <v>7</v>
      </c>
      <c r="P519" s="6" t="n">
        <v>71</v>
      </c>
      <c r="Q519" s="6" t="inlineStr">
        <is>
          <t>No</t>
        </is>
      </c>
      <c r="R519" s="6">
        <f>IF(K519="Yes",1,0)</f>
        <v/>
      </c>
      <c r="S519" s="6">
        <f>IF(K519="No",1,0)</f>
        <v/>
      </c>
      <c r="T519" s="6">
        <f>ROUND((IF(L519="",'Subscriptions'!$T$2,L519)-J519)/30.44,1)</f>
        <v/>
      </c>
      <c r="U519" s="6">
        <f>IF(AND(P519&lt;'Subscriptions'!$T$4,O519&lt;='Subscriptions'!$T$5),1,0)</f>
        <v/>
      </c>
    </row>
    <row r="520">
      <c r="A520" s="6" t="inlineStr">
        <is>
          <t>CUST-0519</t>
        </is>
      </c>
      <c r="B520" s="6" t="inlineStr">
        <is>
          <t>Business</t>
        </is>
      </c>
      <c r="C520" s="6" t="inlineStr">
        <is>
          <t>Annual</t>
        </is>
      </c>
      <c r="D520" s="6" t="inlineStr">
        <is>
          <t>Media</t>
        </is>
      </c>
      <c r="E520" s="6" t="inlineStr">
        <is>
          <t>11-50</t>
        </is>
      </c>
      <c r="F520" s="6" t="n">
        <v>34</v>
      </c>
      <c r="G520" s="6" t="n">
        <v>1006.44</v>
      </c>
      <c r="H520" s="6" t="inlineStr">
        <is>
          <t>Paid Ads</t>
        </is>
      </c>
      <c r="I520" s="6" t="inlineStr">
        <is>
          <t>Asia Pacific</t>
        </is>
      </c>
      <c r="J520" s="7" t="n">
        <v>44791</v>
      </c>
      <c r="K520" s="6" t="inlineStr">
        <is>
          <t>No</t>
        </is>
      </c>
      <c r="L520" s="7" t="n"/>
      <c r="M520" s="6" t="n"/>
      <c r="N520" s="6" t="n">
        <v>10</v>
      </c>
      <c r="O520" s="6" t="n">
        <v>4</v>
      </c>
      <c r="P520" s="6" t="n">
        <v>84</v>
      </c>
      <c r="Q520" s="6" t="inlineStr">
        <is>
          <t>No</t>
        </is>
      </c>
      <c r="R520" s="6">
        <f>IF(K520="Yes",1,0)</f>
        <v/>
      </c>
      <c r="S520" s="6">
        <f>IF(K520="No",1,0)</f>
        <v/>
      </c>
      <c r="T520" s="6">
        <f>ROUND((IF(L520="",'Subscriptions'!$T$2,L520)-J520)/30.44,1)</f>
        <v/>
      </c>
      <c r="U520" s="6">
        <f>IF(AND(P520&lt;'Subscriptions'!$T$4,O520&lt;='Subscriptions'!$T$5),1,0)</f>
        <v/>
      </c>
    </row>
    <row r="521">
      <c r="A521" s="6" t="inlineStr">
        <is>
          <t>CUST-0520</t>
        </is>
      </c>
      <c r="B521" s="6" t="inlineStr">
        <is>
          <t>Professional</t>
        </is>
      </c>
      <c r="C521" s="6" t="inlineStr">
        <is>
          <t>Monthly</t>
        </is>
      </c>
      <c r="D521" s="6" t="inlineStr">
        <is>
          <t>Healthcare</t>
        </is>
      </c>
      <c r="E521" s="6" t="inlineStr">
        <is>
          <t>11-50</t>
        </is>
      </c>
      <c r="F521" s="6" t="n">
        <v>31</v>
      </c>
      <c r="G521" s="6" t="n">
        <v>434.5</v>
      </c>
      <c r="H521" s="6" t="inlineStr">
        <is>
          <t>Paid Ads</t>
        </is>
      </c>
      <c r="I521" s="6" t="inlineStr">
        <is>
          <t>Europe</t>
        </is>
      </c>
      <c r="J521" s="7" t="n">
        <v>44724</v>
      </c>
      <c r="K521" s="6" t="inlineStr">
        <is>
          <t>Yes</t>
        </is>
      </c>
      <c r="L521" s="7" t="n">
        <v>45412</v>
      </c>
      <c r="M521" s="6" t="inlineStr">
        <is>
          <t>Switched Competitor</t>
        </is>
      </c>
      <c r="N521" s="6" t="n">
        <v>10</v>
      </c>
      <c r="O521" s="6" t="n">
        <v>4</v>
      </c>
      <c r="P521" s="6" t="n">
        <v>20</v>
      </c>
      <c r="Q521" s="6" t="inlineStr">
        <is>
          <t>No</t>
        </is>
      </c>
      <c r="R521" s="6">
        <f>IF(K521="Yes",1,0)</f>
        <v/>
      </c>
      <c r="S521" s="6">
        <f>IF(K521="No",1,0)</f>
        <v/>
      </c>
      <c r="T521" s="6">
        <f>ROUND((IF(L521="",'Subscriptions'!$T$2,L521)-J521)/30.44,1)</f>
        <v/>
      </c>
      <c r="U521" s="6">
        <f>IF(AND(P521&lt;'Subscriptions'!$T$4,O521&lt;='Subscriptions'!$T$5),1,0)</f>
        <v/>
      </c>
    </row>
    <row r="522">
      <c r="A522" s="6" t="inlineStr">
        <is>
          <t>CUST-0521</t>
        </is>
      </c>
      <c r="B522" s="6" t="inlineStr">
        <is>
          <t>Enterprise</t>
        </is>
      </c>
      <c r="C522" s="6" t="inlineStr">
        <is>
          <t>Monthly</t>
        </is>
      </c>
      <c r="D522" s="6" t="inlineStr">
        <is>
          <t>Finance</t>
        </is>
      </c>
      <c r="E522" s="6" t="inlineStr">
        <is>
          <t>1-10</t>
        </is>
      </c>
      <c r="F522" s="6" t="n">
        <v>4</v>
      </c>
      <c r="G522" s="6" t="n">
        <v>723.55</v>
      </c>
      <c r="H522" s="6" t="inlineStr">
        <is>
          <t>Organic Search</t>
        </is>
      </c>
      <c r="I522" s="6" t="inlineStr">
        <is>
          <t>Asia Pacific</t>
        </is>
      </c>
      <c r="J522" s="7" t="n">
        <v>45505</v>
      </c>
      <c r="K522" s="6" t="inlineStr">
        <is>
          <t>Yes</t>
        </is>
      </c>
      <c r="L522" s="7" t="n">
        <v>45787</v>
      </c>
      <c r="M522" s="6" t="inlineStr">
        <is>
          <t>Company Closed</t>
        </is>
      </c>
      <c r="N522" s="6" t="n">
        <v>5</v>
      </c>
      <c r="O522" s="6" t="n">
        <v>6</v>
      </c>
      <c r="P522" s="6" t="n">
        <v>31</v>
      </c>
      <c r="Q522" s="6" t="inlineStr">
        <is>
          <t>No</t>
        </is>
      </c>
      <c r="R522" s="6">
        <f>IF(K522="Yes",1,0)</f>
        <v/>
      </c>
      <c r="S522" s="6">
        <f>IF(K522="No",1,0)</f>
        <v/>
      </c>
      <c r="T522" s="6">
        <f>ROUND((IF(L522="",'Subscriptions'!$T$2,L522)-J522)/30.44,1)</f>
        <v/>
      </c>
      <c r="U522" s="6">
        <f>IF(AND(P522&lt;'Subscriptions'!$T$4,O522&lt;='Subscriptions'!$T$5),1,0)</f>
        <v/>
      </c>
    </row>
    <row r="523">
      <c r="A523" s="6" t="inlineStr">
        <is>
          <t>CUST-0522</t>
        </is>
      </c>
      <c r="B523" s="6" t="inlineStr">
        <is>
          <t>Enterprise</t>
        </is>
      </c>
      <c r="C523" s="6" t="inlineStr">
        <is>
          <t>Monthly</t>
        </is>
      </c>
      <c r="D523" s="6" t="inlineStr">
        <is>
          <t>Technology</t>
        </is>
      </c>
      <c r="E523" s="6" t="inlineStr">
        <is>
          <t>1-10</t>
        </is>
      </c>
      <c r="F523" s="6" t="n">
        <v>7</v>
      </c>
      <c r="G523" s="6" t="n">
        <v>948.1</v>
      </c>
      <c r="H523" s="6" t="inlineStr">
        <is>
          <t>Direct Sales</t>
        </is>
      </c>
      <c r="I523" s="6" t="inlineStr">
        <is>
          <t>Asia Pacific</t>
        </is>
      </c>
      <c r="J523" s="7" t="n">
        <v>45103</v>
      </c>
      <c r="K523" s="6" t="inlineStr">
        <is>
          <t>No</t>
        </is>
      </c>
      <c r="L523" s="7" t="n"/>
      <c r="M523" s="6" t="n"/>
      <c r="N523" s="6" t="n">
        <v>0</v>
      </c>
      <c r="O523" s="6" t="n">
        <v>5</v>
      </c>
      <c r="P523" s="6" t="n">
        <v>83</v>
      </c>
      <c r="Q523" s="6" t="inlineStr">
        <is>
          <t>No</t>
        </is>
      </c>
      <c r="R523" s="6">
        <f>IF(K523="Yes",1,0)</f>
        <v/>
      </c>
      <c r="S523" s="6">
        <f>IF(K523="No",1,0)</f>
        <v/>
      </c>
      <c r="T523" s="6">
        <f>ROUND((IF(L523="",'Subscriptions'!$T$2,L523)-J523)/30.44,1)</f>
        <v/>
      </c>
      <c r="U523" s="6">
        <f>IF(AND(P523&lt;'Subscriptions'!$T$4,O523&lt;='Subscriptions'!$T$5),1,0)</f>
        <v/>
      </c>
    </row>
    <row r="524">
      <c r="A524" s="6" t="inlineStr">
        <is>
          <t>CUST-0523</t>
        </is>
      </c>
      <c r="B524" s="6" t="inlineStr">
        <is>
          <t>Business</t>
        </is>
      </c>
      <c r="C524" s="6" t="inlineStr">
        <is>
          <t>Monthly</t>
        </is>
      </c>
      <c r="D524" s="6" t="inlineStr">
        <is>
          <t>Healthcare</t>
        </is>
      </c>
      <c r="E524" s="6" t="inlineStr">
        <is>
          <t>1-10</t>
        </is>
      </c>
      <c r="F524" s="6" t="n">
        <v>7</v>
      </c>
      <c r="G524" s="6" t="n">
        <v>378.1</v>
      </c>
      <c r="H524" s="6" t="inlineStr">
        <is>
          <t>Partner</t>
        </is>
      </c>
      <c r="I524" s="6" t="inlineStr">
        <is>
          <t>Europe</t>
        </is>
      </c>
      <c r="J524" s="7" t="n">
        <v>45298</v>
      </c>
      <c r="K524" s="6" t="inlineStr">
        <is>
          <t>Yes</t>
        </is>
      </c>
      <c r="L524" s="7" t="n">
        <v>45773</v>
      </c>
      <c r="M524" s="6" t="inlineStr">
        <is>
          <t>Missing Features</t>
        </is>
      </c>
      <c r="N524" s="6" t="n">
        <v>0</v>
      </c>
      <c r="O524" s="6" t="n">
        <v>1</v>
      </c>
      <c r="P524" s="6" t="n">
        <v>36</v>
      </c>
      <c r="Q524" s="6" t="inlineStr">
        <is>
          <t>No</t>
        </is>
      </c>
      <c r="R524" s="6">
        <f>IF(K524="Yes",1,0)</f>
        <v/>
      </c>
      <c r="S524" s="6">
        <f>IF(K524="No",1,0)</f>
        <v/>
      </c>
      <c r="T524" s="6">
        <f>ROUND((IF(L524="",'Subscriptions'!$T$2,L524)-J524)/30.44,1)</f>
        <v/>
      </c>
      <c r="U524" s="6">
        <f>IF(AND(P524&lt;'Subscriptions'!$T$4,O524&lt;='Subscriptions'!$T$5),1,0)</f>
        <v/>
      </c>
    </row>
    <row r="525">
      <c r="A525" s="6" t="inlineStr">
        <is>
          <t>CUST-0524</t>
        </is>
      </c>
      <c r="B525" s="6" t="inlineStr">
        <is>
          <t>Professional</t>
        </is>
      </c>
      <c r="C525" s="6" t="inlineStr">
        <is>
          <t>Monthly</t>
        </is>
      </c>
      <c r="D525" s="6" t="inlineStr">
        <is>
          <t>Media</t>
        </is>
      </c>
      <c r="E525" s="6" t="inlineStr">
        <is>
          <t>51-200</t>
        </is>
      </c>
      <c r="F525" s="6" t="n">
        <v>59</v>
      </c>
      <c r="G525" s="6" t="n">
        <v>766.3</v>
      </c>
      <c r="H525" s="6" t="inlineStr">
        <is>
          <t>Partner</t>
        </is>
      </c>
      <c r="I525" s="6" t="inlineStr">
        <is>
          <t>North America</t>
        </is>
      </c>
      <c r="J525" s="7" t="n">
        <v>44599</v>
      </c>
      <c r="K525" s="6" t="inlineStr">
        <is>
          <t>No</t>
        </is>
      </c>
      <c r="L525" s="7" t="n"/>
      <c r="M525" s="6" t="n"/>
      <c r="N525" s="6" t="n">
        <v>2</v>
      </c>
      <c r="O525" s="6" t="n">
        <v>7</v>
      </c>
      <c r="P525" s="6" t="n">
        <v>51</v>
      </c>
      <c r="Q525" s="6" t="inlineStr">
        <is>
          <t>No</t>
        </is>
      </c>
      <c r="R525" s="6">
        <f>IF(K525="Yes",1,0)</f>
        <v/>
      </c>
      <c r="S525" s="6">
        <f>IF(K525="No",1,0)</f>
        <v/>
      </c>
      <c r="T525" s="6">
        <f>ROUND((IF(L525="",'Subscriptions'!$T$2,L525)-J525)/30.44,1)</f>
        <v/>
      </c>
      <c r="U525" s="6">
        <f>IF(AND(P525&lt;'Subscriptions'!$T$4,O525&lt;='Subscriptions'!$T$5),1,0)</f>
        <v/>
      </c>
    </row>
    <row r="526">
      <c r="A526" s="6" t="inlineStr">
        <is>
          <t>CUST-0525</t>
        </is>
      </c>
      <c r="B526" s="6" t="inlineStr">
        <is>
          <t>Enterprise</t>
        </is>
      </c>
      <c r="C526" s="6" t="inlineStr">
        <is>
          <t>Annual</t>
        </is>
      </c>
      <c r="D526" s="6" t="inlineStr">
        <is>
          <t>Manufacturing</t>
        </is>
      </c>
      <c r="E526" s="6" t="inlineStr">
        <is>
          <t>1-10</t>
        </is>
      </c>
      <c r="F526" s="6" t="n">
        <v>1</v>
      </c>
      <c r="G526" s="6" t="n">
        <v>424.15</v>
      </c>
      <c r="H526" s="6" t="inlineStr">
        <is>
          <t>Paid Ads</t>
        </is>
      </c>
      <c r="I526" s="6" t="inlineStr">
        <is>
          <t>Latin America</t>
        </is>
      </c>
      <c r="J526" s="7" t="n">
        <v>44774</v>
      </c>
      <c r="K526" s="6" t="inlineStr">
        <is>
          <t>No</t>
        </is>
      </c>
      <c r="L526" s="7" t="n"/>
      <c r="M526" s="6" t="n"/>
      <c r="N526" s="6" t="n">
        <v>2</v>
      </c>
      <c r="O526" s="6" t="n">
        <v>1</v>
      </c>
      <c r="P526" s="6" t="n">
        <v>65</v>
      </c>
      <c r="Q526" s="6" t="inlineStr">
        <is>
          <t>No</t>
        </is>
      </c>
      <c r="R526" s="6">
        <f>IF(K526="Yes",1,0)</f>
        <v/>
      </c>
      <c r="S526" s="6">
        <f>IF(K526="No",1,0)</f>
        <v/>
      </c>
      <c r="T526" s="6">
        <f>ROUND((IF(L526="",'Subscriptions'!$T$2,L526)-J526)/30.44,1)</f>
        <v/>
      </c>
      <c r="U526" s="6">
        <f>IF(AND(P526&lt;'Subscriptions'!$T$4,O526&lt;='Subscriptions'!$T$5),1,0)</f>
        <v/>
      </c>
    </row>
    <row r="527">
      <c r="A527" s="6" t="inlineStr">
        <is>
          <t>CUST-0526</t>
        </is>
      </c>
      <c r="B527" s="6" t="inlineStr">
        <is>
          <t>Professional</t>
        </is>
      </c>
      <c r="C527" s="6" t="inlineStr">
        <is>
          <t>Monthly</t>
        </is>
      </c>
      <c r="D527" s="6" t="inlineStr">
        <is>
          <t>Real Estate</t>
        </is>
      </c>
      <c r="E527" s="6" t="inlineStr">
        <is>
          <t>1-10</t>
        </is>
      </c>
      <c r="F527" s="6" t="n">
        <v>8</v>
      </c>
      <c r="G527" s="6" t="n">
        <v>161.95</v>
      </c>
      <c r="H527" s="6" t="inlineStr">
        <is>
          <t>Paid Ads</t>
        </is>
      </c>
      <c r="I527" s="6" t="inlineStr">
        <is>
          <t>Latin America</t>
        </is>
      </c>
      <c r="J527" s="7" t="n">
        <v>45047</v>
      </c>
      <c r="K527" s="6" t="inlineStr">
        <is>
          <t>Yes</t>
        </is>
      </c>
      <c r="L527" s="7" t="n">
        <v>45101</v>
      </c>
      <c r="M527" s="6" t="inlineStr">
        <is>
          <t>Budget Cuts</t>
        </is>
      </c>
      <c r="N527" s="6" t="n">
        <v>3</v>
      </c>
      <c r="O527" s="6" t="n">
        <v>1</v>
      </c>
      <c r="P527" s="6" t="n">
        <v>27</v>
      </c>
      <c r="Q527" s="6" t="inlineStr">
        <is>
          <t>No</t>
        </is>
      </c>
      <c r="R527" s="6">
        <f>IF(K527="Yes",1,0)</f>
        <v/>
      </c>
      <c r="S527" s="6">
        <f>IF(K527="No",1,0)</f>
        <v/>
      </c>
      <c r="T527" s="6">
        <f>ROUND((IF(L527="",'Subscriptions'!$T$2,L527)-J527)/30.44,1)</f>
        <v/>
      </c>
      <c r="U527" s="6">
        <f>IF(AND(P527&lt;'Subscriptions'!$T$4,O527&lt;='Subscriptions'!$T$5),1,0)</f>
        <v/>
      </c>
    </row>
    <row r="528">
      <c r="A528" s="6" t="inlineStr">
        <is>
          <t>CUST-0527</t>
        </is>
      </c>
      <c r="B528" s="6" t="inlineStr">
        <is>
          <t>Business</t>
        </is>
      </c>
      <c r="C528" s="6" t="inlineStr">
        <is>
          <t>Annual</t>
        </is>
      </c>
      <c r="D528" s="6" t="inlineStr">
        <is>
          <t>Media</t>
        </is>
      </c>
      <c r="E528" s="6" t="inlineStr">
        <is>
          <t>201-500</t>
        </is>
      </c>
      <c r="F528" s="6" t="n">
        <v>50</v>
      </c>
      <c r="G528" s="6" t="n">
        <v>1412.4</v>
      </c>
      <c r="H528" s="6" t="inlineStr">
        <is>
          <t>Paid Ads</t>
        </is>
      </c>
      <c r="I528" s="6" t="inlineStr">
        <is>
          <t>Europe</t>
        </is>
      </c>
      <c r="J528" s="7" t="n">
        <v>45943</v>
      </c>
      <c r="K528" s="6" t="inlineStr">
        <is>
          <t>No</t>
        </is>
      </c>
      <c r="L528" s="7" t="n"/>
      <c r="M528" s="6" t="n"/>
      <c r="N528" s="6" t="n">
        <v>12</v>
      </c>
      <c r="O528" s="6" t="n">
        <v>5</v>
      </c>
      <c r="P528" s="6" t="n">
        <v>91</v>
      </c>
      <c r="Q528" s="6" t="inlineStr">
        <is>
          <t>No</t>
        </is>
      </c>
      <c r="R528" s="6">
        <f>IF(K528="Yes",1,0)</f>
        <v/>
      </c>
      <c r="S528" s="6">
        <f>IF(K528="No",1,0)</f>
        <v/>
      </c>
      <c r="T528" s="6">
        <f>ROUND((IF(L528="",'Subscriptions'!$T$2,L528)-J528)/30.44,1)</f>
        <v/>
      </c>
      <c r="U528" s="6">
        <f>IF(AND(P528&lt;'Subscriptions'!$T$4,O528&lt;='Subscriptions'!$T$5),1,0)</f>
        <v/>
      </c>
    </row>
    <row r="529">
      <c r="A529" s="6" t="inlineStr">
        <is>
          <t>CUST-0528</t>
        </is>
      </c>
      <c r="B529" s="6" t="inlineStr">
        <is>
          <t>Starter</t>
        </is>
      </c>
      <c r="C529" s="6" t="inlineStr">
        <is>
          <t>Monthly</t>
        </is>
      </c>
      <c r="D529" s="6" t="inlineStr">
        <is>
          <t>Legal</t>
        </is>
      </c>
      <c r="E529" s="6" t="inlineStr">
        <is>
          <t>1-10</t>
        </is>
      </c>
      <c r="F529" s="6" t="n">
        <v>7</v>
      </c>
      <c r="G529" s="6" t="n">
        <v>55.1</v>
      </c>
      <c r="H529" s="6" t="inlineStr">
        <is>
          <t>Referral</t>
        </is>
      </c>
      <c r="I529" s="6" t="inlineStr">
        <is>
          <t>Asia Pacific</t>
        </is>
      </c>
      <c r="J529" s="7" t="n">
        <v>45276</v>
      </c>
      <c r="K529" s="6" t="inlineStr">
        <is>
          <t>Yes</t>
        </is>
      </c>
      <c r="L529" s="7" t="n">
        <v>45871</v>
      </c>
      <c r="M529" s="6" t="inlineStr">
        <is>
          <t>Company Closed</t>
        </is>
      </c>
      <c r="N529" s="6" t="n">
        <v>6</v>
      </c>
      <c r="O529" s="6" t="n">
        <v>3</v>
      </c>
      <c r="P529" s="6" t="n">
        <v>36</v>
      </c>
      <c r="Q529" s="6" t="inlineStr">
        <is>
          <t>No</t>
        </is>
      </c>
      <c r="R529" s="6">
        <f>IF(K529="Yes",1,0)</f>
        <v/>
      </c>
      <c r="S529" s="6">
        <f>IF(K529="No",1,0)</f>
        <v/>
      </c>
      <c r="T529" s="6">
        <f>ROUND((IF(L529="",'Subscriptions'!$T$2,L529)-J529)/30.44,1)</f>
        <v/>
      </c>
      <c r="U529" s="6">
        <f>IF(AND(P529&lt;'Subscriptions'!$T$4,O529&lt;='Subscriptions'!$T$5),1,0)</f>
        <v/>
      </c>
    </row>
    <row r="530">
      <c r="A530" s="6" t="inlineStr">
        <is>
          <t>CUST-0529</t>
        </is>
      </c>
      <c r="B530" s="6" t="inlineStr">
        <is>
          <t>Business</t>
        </is>
      </c>
      <c r="C530" s="6" t="inlineStr">
        <is>
          <t>Annual</t>
        </is>
      </c>
      <c r="D530" s="6" t="inlineStr">
        <is>
          <t>Consulting</t>
        </is>
      </c>
      <c r="E530" s="6" t="inlineStr">
        <is>
          <t>51-200</t>
        </is>
      </c>
      <c r="F530" s="6" t="n">
        <v>49</v>
      </c>
      <c r="G530" s="6" t="n">
        <v>1387.03</v>
      </c>
      <c r="H530" s="6" t="inlineStr">
        <is>
          <t>Referral</t>
        </is>
      </c>
      <c r="I530" s="6" t="inlineStr">
        <is>
          <t>Latin America</t>
        </is>
      </c>
      <c r="J530" s="7" t="n">
        <v>45714</v>
      </c>
      <c r="K530" s="6" t="inlineStr">
        <is>
          <t>No</t>
        </is>
      </c>
      <c r="L530" s="7" t="n"/>
      <c r="M530" s="6" t="n"/>
      <c r="N530" s="6" t="n">
        <v>12</v>
      </c>
      <c r="O530" s="6" t="n">
        <v>9</v>
      </c>
      <c r="P530" s="6" t="n">
        <v>82</v>
      </c>
      <c r="Q530" s="6" t="inlineStr">
        <is>
          <t>No</t>
        </is>
      </c>
      <c r="R530" s="6">
        <f>IF(K530="Yes",1,0)</f>
        <v/>
      </c>
      <c r="S530" s="6">
        <f>IF(K530="No",1,0)</f>
        <v/>
      </c>
      <c r="T530" s="6">
        <f>ROUND((IF(L530="",'Subscriptions'!$T$2,L530)-J530)/30.44,1)</f>
        <v/>
      </c>
      <c r="U530" s="6">
        <f>IF(AND(P530&lt;'Subscriptions'!$T$4,O530&lt;='Subscriptions'!$T$5),1,0)</f>
        <v/>
      </c>
    </row>
    <row r="531">
      <c r="A531" s="6" t="inlineStr">
        <is>
          <t>CUST-0530</t>
        </is>
      </c>
      <c r="B531" s="6" t="inlineStr">
        <is>
          <t>Enterprise</t>
        </is>
      </c>
      <c r="C531" s="6" t="inlineStr">
        <is>
          <t>Monthly</t>
        </is>
      </c>
      <c r="D531" s="6" t="inlineStr">
        <is>
          <t>Legal</t>
        </is>
      </c>
      <c r="E531" s="6" t="inlineStr">
        <is>
          <t>11-50</t>
        </is>
      </c>
      <c r="F531" s="6" t="n">
        <v>31</v>
      </c>
      <c r="G531" s="6" t="n">
        <v>2744.5</v>
      </c>
      <c r="H531" s="6" t="inlineStr">
        <is>
          <t>Partner</t>
        </is>
      </c>
      <c r="I531" s="6" t="inlineStr">
        <is>
          <t>Europe</t>
        </is>
      </c>
      <c r="J531" s="7" t="n">
        <v>45044</v>
      </c>
      <c r="K531" s="6" t="inlineStr">
        <is>
          <t>No</t>
        </is>
      </c>
      <c r="L531" s="7" t="n"/>
      <c r="M531" s="6" t="n"/>
      <c r="N531" s="6" t="n">
        <v>11</v>
      </c>
      <c r="O531" s="6" t="n">
        <v>3</v>
      </c>
      <c r="P531" s="6" t="n">
        <v>15</v>
      </c>
      <c r="Q531" s="6" t="inlineStr">
        <is>
          <t>No</t>
        </is>
      </c>
      <c r="R531" s="6">
        <f>IF(K531="Yes",1,0)</f>
        <v/>
      </c>
      <c r="S531" s="6">
        <f>IF(K531="No",1,0)</f>
        <v/>
      </c>
      <c r="T531" s="6">
        <f>ROUND((IF(L531="",'Subscriptions'!$T$2,L531)-J531)/30.44,1)</f>
        <v/>
      </c>
      <c r="U531" s="6">
        <f>IF(AND(P531&lt;'Subscriptions'!$T$4,O531&lt;='Subscriptions'!$T$5),1,0)</f>
        <v/>
      </c>
    </row>
    <row r="532">
      <c r="A532" s="6" t="inlineStr">
        <is>
          <t>CUST-0531</t>
        </is>
      </c>
      <c r="B532" s="6" t="inlineStr">
        <is>
          <t>Professional</t>
        </is>
      </c>
      <c r="C532" s="6" t="inlineStr">
        <is>
          <t>Monthly</t>
        </is>
      </c>
      <c r="D532" s="6" t="inlineStr">
        <is>
          <t>Real Estate</t>
        </is>
      </c>
      <c r="E532" s="6" t="inlineStr">
        <is>
          <t>11-50</t>
        </is>
      </c>
      <c r="F532" s="6" t="n">
        <v>20</v>
      </c>
      <c r="G532" s="6" t="n">
        <v>304.15</v>
      </c>
      <c r="H532" s="6" t="inlineStr">
        <is>
          <t>Organic Search</t>
        </is>
      </c>
      <c r="I532" s="6" t="inlineStr">
        <is>
          <t>North America</t>
        </is>
      </c>
      <c r="J532" s="7" t="n">
        <v>45150</v>
      </c>
      <c r="K532" s="6" t="inlineStr">
        <is>
          <t>No</t>
        </is>
      </c>
      <c r="L532" s="7" t="n"/>
      <c r="M532" s="6" t="n"/>
      <c r="N532" s="6" t="n">
        <v>10</v>
      </c>
      <c r="O532" s="6" t="n">
        <v>1</v>
      </c>
      <c r="P532" s="6" t="n">
        <v>76</v>
      </c>
      <c r="Q532" s="6" t="inlineStr">
        <is>
          <t>No</t>
        </is>
      </c>
      <c r="R532" s="6">
        <f>IF(K532="Yes",1,0)</f>
        <v/>
      </c>
      <c r="S532" s="6">
        <f>IF(K532="No",1,0)</f>
        <v/>
      </c>
      <c r="T532" s="6">
        <f>ROUND((IF(L532="",'Subscriptions'!$T$2,L532)-J532)/30.44,1)</f>
        <v/>
      </c>
      <c r="U532" s="6">
        <f>IF(AND(P532&lt;'Subscriptions'!$T$4,O532&lt;='Subscriptions'!$T$5),1,0)</f>
        <v/>
      </c>
    </row>
    <row r="533">
      <c r="A533" s="6" t="inlineStr">
        <is>
          <t>CUST-0532</t>
        </is>
      </c>
      <c r="B533" s="6" t="inlineStr">
        <is>
          <t>Starter</t>
        </is>
      </c>
      <c r="C533" s="6" t="inlineStr">
        <is>
          <t>Annual</t>
        </is>
      </c>
      <c r="D533" s="6" t="inlineStr">
        <is>
          <t>Legal</t>
        </is>
      </c>
      <c r="E533" s="6" t="inlineStr">
        <is>
          <t>51-200</t>
        </is>
      </c>
      <c r="F533" s="6" t="n">
        <v>67</v>
      </c>
      <c r="G533" s="6" t="n">
        <v>268.69</v>
      </c>
      <c r="H533" s="6" t="inlineStr">
        <is>
          <t>Partner</t>
        </is>
      </c>
      <c r="I533" s="6" t="inlineStr">
        <is>
          <t>Asia Pacific</t>
        </is>
      </c>
      <c r="J533" s="7" t="n">
        <v>45523</v>
      </c>
      <c r="K533" s="6" t="inlineStr">
        <is>
          <t>No</t>
        </is>
      </c>
      <c r="L533" s="7" t="n"/>
      <c r="M533" s="6" t="n"/>
      <c r="N533" s="6" t="n">
        <v>3</v>
      </c>
      <c r="O533" s="6" t="n">
        <v>6</v>
      </c>
      <c r="P533" s="6" t="n">
        <v>55</v>
      </c>
      <c r="Q533" s="6" t="inlineStr">
        <is>
          <t>No</t>
        </is>
      </c>
      <c r="R533" s="6">
        <f>IF(K533="Yes",1,0)</f>
        <v/>
      </c>
      <c r="S533" s="6">
        <f>IF(K533="No",1,0)</f>
        <v/>
      </c>
      <c r="T533" s="6">
        <f>ROUND((IF(L533="",'Subscriptions'!$T$2,L533)-J533)/30.44,1)</f>
        <v/>
      </c>
      <c r="U533" s="6">
        <f>IF(AND(P533&lt;'Subscriptions'!$T$4,O533&lt;='Subscriptions'!$T$5),1,0)</f>
        <v/>
      </c>
    </row>
    <row r="534">
      <c r="A534" s="6" t="inlineStr">
        <is>
          <t>CUST-0533</t>
        </is>
      </c>
      <c r="B534" s="6" t="inlineStr">
        <is>
          <t>Enterprise</t>
        </is>
      </c>
      <c r="C534" s="6" t="inlineStr">
        <is>
          <t>Monthly</t>
        </is>
      </c>
      <c r="D534" s="6" t="inlineStr">
        <is>
          <t>Healthcare</t>
        </is>
      </c>
      <c r="E534" s="6" t="inlineStr">
        <is>
          <t>201-500</t>
        </is>
      </c>
      <c r="F534" s="6" t="n">
        <v>85</v>
      </c>
      <c r="G534" s="6" t="n">
        <v>6786.4</v>
      </c>
      <c r="H534" s="6" t="inlineStr">
        <is>
          <t>Direct Sales</t>
        </is>
      </c>
      <c r="I534" s="6" t="inlineStr">
        <is>
          <t>Europe</t>
        </is>
      </c>
      <c r="J534" s="7" t="n">
        <v>45490</v>
      </c>
      <c r="K534" s="6" t="inlineStr">
        <is>
          <t>No</t>
        </is>
      </c>
      <c r="L534" s="7" t="n"/>
      <c r="M534" s="6" t="n"/>
      <c r="N534" s="6" t="n">
        <v>4</v>
      </c>
      <c r="O534" s="6" t="n">
        <v>7</v>
      </c>
      <c r="P534" s="6" t="n">
        <v>54</v>
      </c>
      <c r="Q534" s="6" t="inlineStr">
        <is>
          <t>Yes</t>
        </is>
      </c>
      <c r="R534" s="6">
        <f>IF(K534="Yes",1,0)</f>
        <v/>
      </c>
      <c r="S534" s="6">
        <f>IF(K534="No",1,0)</f>
        <v/>
      </c>
      <c r="T534" s="6">
        <f>ROUND((IF(L534="",'Subscriptions'!$T$2,L534)-J534)/30.44,1)</f>
        <v/>
      </c>
      <c r="U534" s="6">
        <f>IF(AND(P534&lt;'Subscriptions'!$T$4,O534&lt;='Subscriptions'!$T$5),1,0)</f>
        <v/>
      </c>
    </row>
    <row r="535">
      <c r="A535" s="6" t="inlineStr">
        <is>
          <t>CUST-0534</t>
        </is>
      </c>
      <c r="B535" s="6" t="inlineStr">
        <is>
          <t>Starter</t>
        </is>
      </c>
      <c r="C535" s="6" t="inlineStr">
        <is>
          <t>Monthly</t>
        </is>
      </c>
      <c r="D535" s="6" t="inlineStr">
        <is>
          <t>Real Estate</t>
        </is>
      </c>
      <c r="E535" s="6" t="inlineStr">
        <is>
          <t>1-10</t>
        </is>
      </c>
      <c r="F535" s="6" t="n">
        <v>2</v>
      </c>
      <c r="G535" s="6" t="n">
        <v>33.35</v>
      </c>
      <c r="H535" s="6" t="inlineStr">
        <is>
          <t>Organic Search</t>
        </is>
      </c>
      <c r="I535" s="6" t="inlineStr">
        <is>
          <t>Asia Pacific</t>
        </is>
      </c>
      <c r="J535" s="7" t="n">
        <v>45094</v>
      </c>
      <c r="K535" s="6" t="inlineStr">
        <is>
          <t>Yes</t>
        </is>
      </c>
      <c r="L535" s="7" t="n">
        <v>45134</v>
      </c>
      <c r="M535" s="6" t="inlineStr">
        <is>
          <t>Company Closed</t>
        </is>
      </c>
      <c r="N535" s="6" t="n">
        <v>13</v>
      </c>
      <c r="O535" s="6" t="n">
        <v>2</v>
      </c>
      <c r="P535" s="6" t="n">
        <v>17</v>
      </c>
      <c r="Q535" s="6" t="inlineStr">
        <is>
          <t>No</t>
        </is>
      </c>
      <c r="R535" s="6">
        <f>IF(K535="Yes",1,0)</f>
        <v/>
      </c>
      <c r="S535" s="6">
        <f>IF(K535="No",1,0)</f>
        <v/>
      </c>
      <c r="T535" s="6">
        <f>ROUND((IF(L535="",'Subscriptions'!$T$2,L535)-J535)/30.44,1)</f>
        <v/>
      </c>
      <c r="U535" s="6">
        <f>IF(AND(P535&lt;'Subscriptions'!$T$4,O535&lt;='Subscriptions'!$T$5),1,0)</f>
        <v/>
      </c>
    </row>
    <row r="536">
      <c r="A536" s="6" t="inlineStr">
        <is>
          <t>CUST-0535</t>
        </is>
      </c>
      <c r="B536" s="6" t="inlineStr">
        <is>
          <t>Enterprise</t>
        </is>
      </c>
      <c r="C536" s="6" t="inlineStr">
        <is>
          <t>Annual</t>
        </is>
      </c>
      <c r="D536" s="6" t="inlineStr">
        <is>
          <t>Finance</t>
        </is>
      </c>
      <c r="E536" s="6" t="inlineStr">
        <is>
          <t>201-500</t>
        </is>
      </c>
      <c r="F536" s="6" t="n">
        <v>52</v>
      </c>
      <c r="G536" s="6" t="n">
        <v>3668.9</v>
      </c>
      <c r="H536" s="6" t="inlineStr">
        <is>
          <t>Referral</t>
        </is>
      </c>
      <c r="I536" s="6" t="inlineStr">
        <is>
          <t>Europe</t>
        </is>
      </c>
      <c r="J536" s="7" t="n">
        <v>45498</v>
      </c>
      <c r="K536" s="6" t="inlineStr">
        <is>
          <t>No</t>
        </is>
      </c>
      <c r="L536" s="7" t="n"/>
      <c r="M536" s="6" t="n"/>
      <c r="N536" s="6" t="n">
        <v>9</v>
      </c>
      <c r="O536" s="6" t="n">
        <v>7</v>
      </c>
      <c r="P536" s="6" t="n">
        <v>93</v>
      </c>
      <c r="Q536" s="6" t="inlineStr">
        <is>
          <t>No</t>
        </is>
      </c>
      <c r="R536" s="6">
        <f>IF(K536="Yes",1,0)</f>
        <v/>
      </c>
      <c r="S536" s="6">
        <f>IF(K536="No",1,0)</f>
        <v/>
      </c>
      <c r="T536" s="6">
        <f>ROUND((IF(L536="",'Subscriptions'!$T$2,L536)-J536)/30.44,1)</f>
        <v/>
      </c>
      <c r="U536" s="6">
        <f>IF(AND(P536&lt;'Subscriptions'!$T$4,O536&lt;='Subscriptions'!$T$5),1,0)</f>
        <v/>
      </c>
    </row>
    <row r="537">
      <c r="A537" s="6" t="inlineStr">
        <is>
          <t>CUST-0536</t>
        </is>
      </c>
      <c r="B537" s="6" t="inlineStr">
        <is>
          <t>Starter</t>
        </is>
      </c>
      <c r="C537" s="6" t="inlineStr">
        <is>
          <t>Annual</t>
        </is>
      </c>
      <c r="D537" s="6" t="inlineStr">
        <is>
          <t>Real Estate</t>
        </is>
      </c>
      <c r="E537" s="6" t="inlineStr">
        <is>
          <t>51-200</t>
        </is>
      </c>
      <c r="F537" s="6" t="n">
        <v>58</v>
      </c>
      <c r="G537" s="6" t="n">
        <v>235.41</v>
      </c>
      <c r="H537" s="6" t="inlineStr">
        <is>
          <t>Social Media</t>
        </is>
      </c>
      <c r="I537" s="6" t="inlineStr">
        <is>
          <t>Asia Pacific</t>
        </is>
      </c>
      <c r="J537" s="7" t="n">
        <v>44870</v>
      </c>
      <c r="K537" s="6" t="inlineStr">
        <is>
          <t>Yes</t>
        </is>
      </c>
      <c r="L537" s="7" t="n">
        <v>44871</v>
      </c>
      <c r="M537" s="6" t="inlineStr">
        <is>
          <t>Company Closed</t>
        </is>
      </c>
      <c r="N537" s="6" t="n">
        <v>4</v>
      </c>
      <c r="O537" s="6" t="n">
        <v>5</v>
      </c>
      <c r="P537" s="6" t="n">
        <v>20</v>
      </c>
      <c r="Q537" s="6" t="inlineStr">
        <is>
          <t>No</t>
        </is>
      </c>
      <c r="R537" s="6">
        <f>IF(K537="Yes",1,0)</f>
        <v/>
      </c>
      <c r="S537" s="6">
        <f>IF(K537="No",1,0)</f>
        <v/>
      </c>
      <c r="T537" s="6">
        <f>ROUND((IF(L537="",'Subscriptions'!$T$2,L537)-J537)/30.44,1)</f>
        <v/>
      </c>
      <c r="U537" s="6">
        <f>IF(AND(P537&lt;'Subscriptions'!$T$4,O537&lt;='Subscriptions'!$T$5),1,0)</f>
        <v/>
      </c>
    </row>
    <row r="538">
      <c r="A538" s="6" t="inlineStr">
        <is>
          <t>CUST-0537</t>
        </is>
      </c>
      <c r="B538" s="6" t="inlineStr">
        <is>
          <t>Starter</t>
        </is>
      </c>
      <c r="C538" s="6" t="inlineStr">
        <is>
          <t>Monthly</t>
        </is>
      </c>
      <c r="D538" s="6" t="inlineStr">
        <is>
          <t>Legal</t>
        </is>
      </c>
      <c r="E538" s="6" t="inlineStr">
        <is>
          <t>11-50</t>
        </is>
      </c>
      <c r="F538" s="6" t="n">
        <v>26</v>
      </c>
      <c r="G538" s="6" t="n">
        <v>137.75</v>
      </c>
      <c r="H538" s="6" t="inlineStr">
        <is>
          <t>Paid Ads</t>
        </is>
      </c>
      <c r="I538" s="6" t="inlineStr">
        <is>
          <t>North America</t>
        </is>
      </c>
      <c r="J538" s="7" t="n">
        <v>45091</v>
      </c>
      <c r="K538" s="6" t="inlineStr">
        <is>
          <t>Yes</t>
        </is>
      </c>
      <c r="L538" s="7" t="n">
        <v>45091</v>
      </c>
      <c r="M538" s="6" t="inlineStr">
        <is>
          <t>Price Too High</t>
        </is>
      </c>
      <c r="N538" s="6" t="n">
        <v>0</v>
      </c>
      <c r="O538" s="6" t="n">
        <v>3</v>
      </c>
      <c r="P538" s="6" t="n">
        <v>23</v>
      </c>
      <c r="Q538" s="6" t="inlineStr">
        <is>
          <t>No</t>
        </is>
      </c>
      <c r="R538" s="6">
        <f>IF(K538="Yes",1,0)</f>
        <v/>
      </c>
      <c r="S538" s="6">
        <f>IF(K538="No",1,0)</f>
        <v/>
      </c>
      <c r="T538" s="6">
        <f>ROUND((IF(L538="",'Subscriptions'!$T$2,L538)-J538)/30.44,1)</f>
        <v/>
      </c>
      <c r="U538" s="6">
        <f>IF(AND(P538&lt;'Subscriptions'!$T$4,O538&lt;='Subscriptions'!$T$5),1,0)</f>
        <v/>
      </c>
    </row>
    <row r="539">
      <c r="A539" s="6" t="inlineStr">
        <is>
          <t>CUST-0538</t>
        </is>
      </c>
      <c r="B539" s="6" t="inlineStr">
        <is>
          <t>Professional</t>
        </is>
      </c>
      <c r="C539" s="6" t="inlineStr">
        <is>
          <t>Monthly</t>
        </is>
      </c>
      <c r="D539" s="6" t="inlineStr">
        <is>
          <t>Real Estate</t>
        </is>
      </c>
      <c r="E539" s="6" t="inlineStr">
        <is>
          <t>1-10</t>
        </is>
      </c>
      <c r="F539" s="6" t="n">
        <v>8</v>
      </c>
      <c r="G539" s="6" t="n">
        <v>161.95</v>
      </c>
      <c r="H539" s="6" t="inlineStr">
        <is>
          <t>Paid Ads</t>
        </is>
      </c>
      <c r="I539" s="6" t="inlineStr">
        <is>
          <t>Europe</t>
        </is>
      </c>
      <c r="J539" s="7" t="n">
        <v>45781</v>
      </c>
      <c r="K539" s="6" t="inlineStr">
        <is>
          <t>Yes</t>
        </is>
      </c>
      <c r="L539" s="7" t="n">
        <v>45877</v>
      </c>
      <c r="M539" s="6" t="inlineStr">
        <is>
          <t>Price Too High</t>
        </is>
      </c>
      <c r="N539" s="6" t="n">
        <v>5</v>
      </c>
      <c r="O539" s="6" t="n">
        <v>2</v>
      </c>
      <c r="P539" s="6" t="n">
        <v>49</v>
      </c>
      <c r="Q539" s="6" t="inlineStr">
        <is>
          <t>No</t>
        </is>
      </c>
      <c r="R539" s="6">
        <f>IF(K539="Yes",1,0)</f>
        <v/>
      </c>
      <c r="S539" s="6">
        <f>IF(K539="No",1,0)</f>
        <v/>
      </c>
      <c r="T539" s="6">
        <f>ROUND((IF(L539="",'Subscriptions'!$T$2,L539)-J539)/30.44,1)</f>
        <v/>
      </c>
      <c r="U539" s="6">
        <f>IF(AND(P539&lt;'Subscriptions'!$T$4,O539&lt;='Subscriptions'!$T$5),1,0)</f>
        <v/>
      </c>
    </row>
    <row r="540">
      <c r="A540" s="6" t="inlineStr">
        <is>
          <t>CUST-0539</t>
        </is>
      </c>
      <c r="B540" s="6" t="inlineStr">
        <is>
          <t>Business</t>
        </is>
      </c>
      <c r="C540" s="6" t="inlineStr">
        <is>
          <t>Annual</t>
        </is>
      </c>
      <c r="D540" s="6" t="inlineStr">
        <is>
          <t>Healthcare</t>
        </is>
      </c>
      <c r="E540" s="6" t="inlineStr">
        <is>
          <t>51-200</t>
        </is>
      </c>
      <c r="F540" s="6" t="n">
        <v>20</v>
      </c>
      <c r="G540" s="6" t="n">
        <v>651.23</v>
      </c>
      <c r="H540" s="6" t="inlineStr">
        <is>
          <t>Social Media</t>
        </is>
      </c>
      <c r="I540" s="6" t="inlineStr">
        <is>
          <t>North America</t>
        </is>
      </c>
      <c r="J540" s="7" t="n">
        <v>45437</v>
      </c>
      <c r="K540" s="6" t="inlineStr">
        <is>
          <t>No</t>
        </is>
      </c>
      <c r="L540" s="7" t="n"/>
      <c r="M540" s="6" t="n"/>
      <c r="N540" s="6" t="n">
        <v>8</v>
      </c>
      <c r="O540" s="6" t="n">
        <v>9</v>
      </c>
      <c r="P540" s="6" t="n">
        <v>90</v>
      </c>
      <c r="Q540" s="6" t="inlineStr">
        <is>
          <t>No</t>
        </is>
      </c>
      <c r="R540" s="6">
        <f>IF(K540="Yes",1,0)</f>
        <v/>
      </c>
      <c r="S540" s="6">
        <f>IF(K540="No",1,0)</f>
        <v/>
      </c>
      <c r="T540" s="6">
        <f>ROUND((IF(L540="",'Subscriptions'!$T$2,L540)-J540)/30.44,1)</f>
        <v/>
      </c>
      <c r="U540" s="6">
        <f>IF(AND(P540&lt;'Subscriptions'!$T$4,O540&lt;='Subscriptions'!$T$5),1,0)</f>
        <v/>
      </c>
    </row>
    <row r="541">
      <c r="A541" s="6" t="inlineStr">
        <is>
          <t>CUST-0540</t>
        </is>
      </c>
      <c r="B541" s="6" t="inlineStr">
        <is>
          <t>Starter</t>
        </is>
      </c>
      <c r="C541" s="6" t="inlineStr">
        <is>
          <t>Monthly</t>
        </is>
      </c>
      <c r="D541" s="6" t="inlineStr">
        <is>
          <t>Consulting</t>
        </is>
      </c>
      <c r="E541" s="6" t="inlineStr">
        <is>
          <t>51-200</t>
        </is>
      </c>
      <c r="F541" s="6" t="n">
        <v>68</v>
      </c>
      <c r="G541" s="6" t="n">
        <v>320.45</v>
      </c>
      <c r="H541" s="6" t="inlineStr">
        <is>
          <t>Paid Ads</t>
        </is>
      </c>
      <c r="I541" s="6" t="inlineStr">
        <is>
          <t>North America</t>
        </is>
      </c>
      <c r="J541" s="7" t="n">
        <v>45539</v>
      </c>
      <c r="K541" s="6" t="inlineStr">
        <is>
          <t>Yes</t>
        </is>
      </c>
      <c r="L541" s="7" t="n">
        <v>45787</v>
      </c>
      <c r="M541" s="6" t="inlineStr">
        <is>
          <t>No Longer Needed</t>
        </is>
      </c>
      <c r="N541" s="6" t="n">
        <v>9</v>
      </c>
      <c r="O541" s="6" t="n">
        <v>4</v>
      </c>
      <c r="P541" s="6" t="n">
        <v>50</v>
      </c>
      <c r="Q541" s="6" t="inlineStr">
        <is>
          <t>No</t>
        </is>
      </c>
      <c r="R541" s="6">
        <f>IF(K541="Yes",1,0)</f>
        <v/>
      </c>
      <c r="S541" s="6">
        <f>IF(K541="No",1,0)</f>
        <v/>
      </c>
      <c r="T541" s="6">
        <f>ROUND((IF(L541="",'Subscriptions'!$T$2,L541)-J541)/30.44,1)</f>
        <v/>
      </c>
      <c r="U541" s="6">
        <f>IF(AND(P541&lt;'Subscriptions'!$T$4,O541&lt;='Subscriptions'!$T$5),1,0)</f>
        <v/>
      </c>
    </row>
    <row r="542">
      <c r="A542" s="6" t="inlineStr">
        <is>
          <t>CUST-0541</t>
        </is>
      </c>
      <c r="B542" s="6" t="inlineStr">
        <is>
          <t>Professional</t>
        </is>
      </c>
      <c r="C542" s="6" t="inlineStr">
        <is>
          <t>Monthly</t>
        </is>
      </c>
      <c r="D542" s="6" t="inlineStr">
        <is>
          <t>Manufacturing</t>
        </is>
      </c>
      <c r="E542" s="6" t="inlineStr">
        <is>
          <t>201-500</t>
        </is>
      </c>
      <c r="F542" s="6" t="n">
        <v>30</v>
      </c>
      <c r="G542" s="6" t="n">
        <v>422.65</v>
      </c>
      <c r="H542" s="6" t="inlineStr">
        <is>
          <t>Referral</t>
        </is>
      </c>
      <c r="I542" s="6" t="inlineStr">
        <is>
          <t>North America</t>
        </is>
      </c>
      <c r="J542" s="7" t="n">
        <v>45166</v>
      </c>
      <c r="K542" s="6" t="inlineStr">
        <is>
          <t>Yes</t>
        </is>
      </c>
      <c r="L542" s="7" t="n">
        <v>45606</v>
      </c>
      <c r="M542" s="6" t="inlineStr">
        <is>
          <t>Budget Cuts</t>
        </is>
      </c>
      <c r="N542" s="6" t="n">
        <v>8</v>
      </c>
      <c r="O542" s="6" t="n">
        <v>1</v>
      </c>
      <c r="P542" s="6" t="n">
        <v>50</v>
      </c>
      <c r="Q542" s="6" t="inlineStr">
        <is>
          <t>No</t>
        </is>
      </c>
      <c r="R542" s="6">
        <f>IF(K542="Yes",1,0)</f>
        <v/>
      </c>
      <c r="S542" s="6">
        <f>IF(K542="No",1,0)</f>
        <v/>
      </c>
      <c r="T542" s="6">
        <f>ROUND((IF(L542="",'Subscriptions'!$T$2,L542)-J542)/30.44,1)</f>
        <v/>
      </c>
      <c r="U542" s="6">
        <f>IF(AND(P542&lt;'Subscriptions'!$T$4,O542&lt;='Subscriptions'!$T$5),1,0)</f>
        <v/>
      </c>
    </row>
    <row r="543">
      <c r="A543" s="6" t="inlineStr">
        <is>
          <t>CUST-0542</t>
        </is>
      </c>
      <c r="B543" s="6" t="inlineStr">
        <is>
          <t>Starter</t>
        </is>
      </c>
      <c r="C543" s="6" t="inlineStr">
        <is>
          <t>Monthly</t>
        </is>
      </c>
      <c r="D543" s="6" t="inlineStr">
        <is>
          <t>Education</t>
        </is>
      </c>
      <c r="E543" s="6" t="inlineStr">
        <is>
          <t>11-50</t>
        </is>
      </c>
      <c r="F543" s="6" t="n">
        <v>28</v>
      </c>
      <c r="G543" s="6" t="n">
        <v>146.45</v>
      </c>
      <c r="H543" s="6" t="inlineStr">
        <is>
          <t>Direct Sales</t>
        </is>
      </c>
      <c r="I543" s="6" t="inlineStr">
        <is>
          <t>North America</t>
        </is>
      </c>
      <c r="J543" s="7" t="n">
        <v>45954</v>
      </c>
      <c r="K543" s="6" t="inlineStr">
        <is>
          <t>No</t>
        </is>
      </c>
      <c r="L543" s="7" t="n"/>
      <c r="M543" s="6" t="n"/>
      <c r="N543" s="6" t="n">
        <v>7</v>
      </c>
      <c r="O543" s="6" t="n">
        <v>1</v>
      </c>
      <c r="P543" s="6" t="n">
        <v>91</v>
      </c>
      <c r="Q543" s="6" t="inlineStr">
        <is>
          <t>No</t>
        </is>
      </c>
      <c r="R543" s="6">
        <f>IF(K543="Yes",1,0)</f>
        <v/>
      </c>
      <c r="S543" s="6">
        <f>IF(K543="No",1,0)</f>
        <v/>
      </c>
      <c r="T543" s="6">
        <f>ROUND((IF(L543="",'Subscriptions'!$T$2,L543)-J543)/30.44,1)</f>
        <v/>
      </c>
      <c r="U543" s="6">
        <f>IF(AND(P543&lt;'Subscriptions'!$T$4,O543&lt;='Subscriptions'!$T$5),1,0)</f>
        <v/>
      </c>
    </row>
    <row r="544">
      <c r="A544" s="6" t="inlineStr">
        <is>
          <t>CUST-0543</t>
        </is>
      </c>
      <c r="B544" s="6" t="inlineStr">
        <is>
          <t>Enterprise</t>
        </is>
      </c>
      <c r="C544" s="6" t="inlineStr">
        <is>
          <t>Annual</t>
        </is>
      </c>
      <c r="D544" s="6" t="inlineStr">
        <is>
          <t>Real Estate</t>
        </is>
      </c>
      <c r="E544" s="6" t="inlineStr">
        <is>
          <t>1-10</t>
        </is>
      </c>
      <c r="F544" s="6" t="n">
        <v>1</v>
      </c>
      <c r="G544" s="6" t="n">
        <v>424.15</v>
      </c>
      <c r="H544" s="6" t="inlineStr">
        <is>
          <t>Partner</t>
        </is>
      </c>
      <c r="I544" s="6" t="inlineStr">
        <is>
          <t>North America</t>
        </is>
      </c>
      <c r="J544" s="7" t="n">
        <v>44870</v>
      </c>
      <c r="K544" s="6" t="inlineStr">
        <is>
          <t>Yes</t>
        </is>
      </c>
      <c r="L544" s="7" t="n">
        <v>45787</v>
      </c>
      <c r="M544" s="6" t="inlineStr">
        <is>
          <t>No Longer Needed</t>
        </is>
      </c>
      <c r="N544" s="6" t="n">
        <v>9</v>
      </c>
      <c r="O544" s="6" t="n">
        <v>3</v>
      </c>
      <c r="P544" s="6" t="n">
        <v>24</v>
      </c>
      <c r="Q544" s="6" t="inlineStr">
        <is>
          <t>No</t>
        </is>
      </c>
      <c r="R544" s="6">
        <f>IF(K544="Yes",1,0)</f>
        <v/>
      </c>
      <c r="S544" s="6">
        <f>IF(K544="No",1,0)</f>
        <v/>
      </c>
      <c r="T544" s="6">
        <f>ROUND((IF(L544="",'Subscriptions'!$T$2,L544)-J544)/30.44,1)</f>
        <v/>
      </c>
      <c r="U544" s="6">
        <f>IF(AND(P544&lt;'Subscriptions'!$T$4,O544&lt;='Subscriptions'!$T$5),1,0)</f>
        <v/>
      </c>
    </row>
    <row r="545">
      <c r="A545" s="6" t="inlineStr">
        <is>
          <t>CUST-0544</t>
        </is>
      </c>
      <c r="B545" s="6" t="inlineStr">
        <is>
          <t>Business</t>
        </is>
      </c>
      <c r="C545" s="6" t="inlineStr">
        <is>
          <t>Annual</t>
        </is>
      </c>
      <c r="D545" s="6" t="inlineStr">
        <is>
          <t>Real Estate</t>
        </is>
      </c>
      <c r="E545" s="6" t="inlineStr">
        <is>
          <t>11-50</t>
        </is>
      </c>
      <c r="F545" s="6" t="n">
        <v>16</v>
      </c>
      <c r="G545" s="6" t="n">
        <v>549.74</v>
      </c>
      <c r="H545" s="6" t="inlineStr">
        <is>
          <t>Referral</t>
        </is>
      </c>
      <c r="I545" s="6" t="inlineStr">
        <is>
          <t>Europe</t>
        </is>
      </c>
      <c r="J545" s="7" t="n">
        <v>45290</v>
      </c>
      <c r="K545" s="6" t="inlineStr">
        <is>
          <t>No</t>
        </is>
      </c>
      <c r="L545" s="7" t="n"/>
      <c r="M545" s="6" t="n"/>
      <c r="N545" s="6" t="n">
        <v>4</v>
      </c>
      <c r="O545" s="6" t="n">
        <v>3</v>
      </c>
      <c r="P545" s="6" t="n">
        <v>25</v>
      </c>
      <c r="Q545" s="6" t="inlineStr">
        <is>
          <t>No</t>
        </is>
      </c>
      <c r="R545" s="6">
        <f>IF(K545="Yes",1,0)</f>
        <v/>
      </c>
      <c r="S545" s="6">
        <f>IF(K545="No",1,0)</f>
        <v/>
      </c>
      <c r="T545" s="6">
        <f>ROUND((IF(L545="",'Subscriptions'!$T$2,L545)-J545)/30.44,1)</f>
        <v/>
      </c>
      <c r="U545" s="6">
        <f>IF(AND(P545&lt;'Subscriptions'!$T$4,O545&lt;='Subscriptions'!$T$5),1,0)</f>
        <v/>
      </c>
    </row>
    <row r="546">
      <c r="A546" s="6" t="inlineStr">
        <is>
          <t>CUST-0545</t>
        </is>
      </c>
      <c r="B546" s="6" t="inlineStr">
        <is>
          <t>Starter</t>
        </is>
      </c>
      <c r="C546" s="6" t="inlineStr">
        <is>
          <t>Monthly</t>
        </is>
      </c>
      <c r="D546" s="6" t="inlineStr">
        <is>
          <t>Technology</t>
        </is>
      </c>
      <c r="E546" s="6" t="inlineStr">
        <is>
          <t>1-10</t>
        </is>
      </c>
      <c r="F546" s="6" t="n">
        <v>1</v>
      </c>
      <c r="G546" s="6" t="n">
        <v>29</v>
      </c>
      <c r="H546" s="6" t="inlineStr">
        <is>
          <t>Referral</t>
        </is>
      </c>
      <c r="I546" s="6" t="inlineStr">
        <is>
          <t>Europe</t>
        </is>
      </c>
      <c r="J546" s="7" t="n">
        <v>44685</v>
      </c>
      <c r="K546" s="6" t="inlineStr">
        <is>
          <t>Yes</t>
        </is>
      </c>
      <c r="L546" s="7" t="n">
        <v>44909</v>
      </c>
      <c r="M546" s="6" t="inlineStr">
        <is>
          <t>Price Too High</t>
        </is>
      </c>
      <c r="N546" s="6" t="n">
        <v>14</v>
      </c>
      <c r="O546" s="6" t="n">
        <v>2</v>
      </c>
      <c r="P546" s="6" t="n">
        <v>10</v>
      </c>
      <c r="Q546" s="6" t="inlineStr">
        <is>
          <t>No</t>
        </is>
      </c>
      <c r="R546" s="6">
        <f>IF(K546="Yes",1,0)</f>
        <v/>
      </c>
      <c r="S546" s="6">
        <f>IF(K546="No",1,0)</f>
        <v/>
      </c>
      <c r="T546" s="6">
        <f>ROUND((IF(L546="",'Subscriptions'!$T$2,L546)-J546)/30.44,1)</f>
        <v/>
      </c>
      <c r="U546" s="6">
        <f>IF(AND(P546&lt;'Subscriptions'!$T$4,O546&lt;='Subscriptions'!$T$5),1,0)</f>
        <v/>
      </c>
    </row>
    <row r="547">
      <c r="A547" s="6" t="inlineStr">
        <is>
          <t>CUST-0546</t>
        </is>
      </c>
      <c r="B547" s="6" t="inlineStr">
        <is>
          <t>Professional</t>
        </is>
      </c>
      <c r="C547" s="6" t="inlineStr">
        <is>
          <t>Monthly</t>
        </is>
      </c>
      <c r="D547" s="6" t="inlineStr">
        <is>
          <t>Technology</t>
        </is>
      </c>
      <c r="E547" s="6" t="inlineStr">
        <is>
          <t>11-50</t>
        </is>
      </c>
      <c r="F547" s="6" t="n">
        <v>11</v>
      </c>
      <c r="G547" s="6" t="n">
        <v>197.5</v>
      </c>
      <c r="H547" s="6" t="inlineStr">
        <is>
          <t>Direct Sales</t>
        </is>
      </c>
      <c r="I547" s="6" t="inlineStr">
        <is>
          <t>Asia Pacific</t>
        </is>
      </c>
      <c r="J547" s="7" t="n">
        <v>45181</v>
      </c>
      <c r="K547" s="6" t="inlineStr">
        <is>
          <t>Yes</t>
        </is>
      </c>
      <c r="L547" s="7" t="n">
        <v>45407</v>
      </c>
      <c r="M547" s="6" t="inlineStr">
        <is>
          <t>Company Closed</t>
        </is>
      </c>
      <c r="N547" s="6" t="n">
        <v>12</v>
      </c>
      <c r="O547" s="6" t="n">
        <v>2</v>
      </c>
      <c r="P547" s="6" t="n">
        <v>10</v>
      </c>
      <c r="Q547" s="6" t="inlineStr">
        <is>
          <t>No</t>
        </is>
      </c>
      <c r="R547" s="6">
        <f>IF(K547="Yes",1,0)</f>
        <v/>
      </c>
      <c r="S547" s="6">
        <f>IF(K547="No",1,0)</f>
        <v/>
      </c>
      <c r="T547" s="6">
        <f>ROUND((IF(L547="",'Subscriptions'!$T$2,L547)-J547)/30.44,1)</f>
        <v/>
      </c>
      <c r="U547" s="6">
        <f>IF(AND(P547&lt;'Subscriptions'!$T$4,O547&lt;='Subscriptions'!$T$5),1,0)</f>
        <v/>
      </c>
    </row>
    <row r="548">
      <c r="A548" s="6" t="inlineStr">
        <is>
          <t>CUST-0547</t>
        </is>
      </c>
      <c r="B548" s="6" t="inlineStr">
        <is>
          <t>Enterprise</t>
        </is>
      </c>
      <c r="C548" s="6" t="inlineStr">
        <is>
          <t>Monthly</t>
        </is>
      </c>
      <c r="D548" s="6" t="inlineStr">
        <is>
          <t>Retail</t>
        </is>
      </c>
      <c r="E548" s="6" t="inlineStr">
        <is>
          <t>1-10</t>
        </is>
      </c>
      <c r="F548" s="6" t="n">
        <v>2</v>
      </c>
      <c r="G548" s="6" t="n">
        <v>573.85</v>
      </c>
      <c r="H548" s="6" t="inlineStr">
        <is>
          <t>Organic Search</t>
        </is>
      </c>
      <c r="I548" s="6" t="inlineStr">
        <is>
          <t>North America</t>
        </is>
      </c>
      <c r="J548" s="7" t="n">
        <v>44936</v>
      </c>
      <c r="K548" s="6" t="inlineStr">
        <is>
          <t>Yes</t>
        </is>
      </c>
      <c r="L548" s="7" t="n">
        <v>45706</v>
      </c>
      <c r="M548" s="6" t="inlineStr">
        <is>
          <t>Poor Support</t>
        </is>
      </c>
      <c r="N548" s="6" t="n">
        <v>10</v>
      </c>
      <c r="O548" s="6" t="n">
        <v>3</v>
      </c>
      <c r="P548" s="6" t="n">
        <v>22</v>
      </c>
      <c r="Q548" s="6" t="inlineStr">
        <is>
          <t>No</t>
        </is>
      </c>
      <c r="R548" s="6">
        <f>IF(K548="Yes",1,0)</f>
        <v/>
      </c>
      <c r="S548" s="6">
        <f>IF(K548="No",1,0)</f>
        <v/>
      </c>
      <c r="T548" s="6">
        <f>ROUND((IF(L548="",'Subscriptions'!$T$2,L548)-J548)/30.44,1)</f>
        <v/>
      </c>
      <c r="U548" s="6">
        <f>IF(AND(P548&lt;'Subscriptions'!$T$4,O548&lt;='Subscriptions'!$T$5),1,0)</f>
        <v/>
      </c>
    </row>
    <row r="549">
      <c r="A549" s="6" t="inlineStr">
        <is>
          <t>CUST-0548</t>
        </is>
      </c>
      <c r="B549" s="6" t="inlineStr">
        <is>
          <t>Business</t>
        </is>
      </c>
      <c r="C549" s="6" t="inlineStr">
        <is>
          <t>Monthly</t>
        </is>
      </c>
      <c r="D549" s="6" t="inlineStr">
        <is>
          <t>Media</t>
        </is>
      </c>
      <c r="E549" s="6" t="inlineStr">
        <is>
          <t>11-50</t>
        </is>
      </c>
      <c r="F549" s="6" t="n">
        <v>31</v>
      </c>
      <c r="G549" s="6" t="n">
        <v>1094.5</v>
      </c>
      <c r="H549" s="6" t="inlineStr">
        <is>
          <t>Paid Ads</t>
        </is>
      </c>
      <c r="I549" s="6" t="inlineStr">
        <is>
          <t>Asia Pacific</t>
        </is>
      </c>
      <c r="J549" s="7" t="n">
        <v>44889</v>
      </c>
      <c r="K549" s="6" t="inlineStr">
        <is>
          <t>No</t>
        </is>
      </c>
      <c r="L549" s="7" t="n"/>
      <c r="M549" s="6" t="n"/>
      <c r="N549" s="6" t="n">
        <v>1</v>
      </c>
      <c r="O549" s="6" t="n">
        <v>6</v>
      </c>
      <c r="P549" s="6" t="n">
        <v>49</v>
      </c>
      <c r="Q549" s="6" t="inlineStr">
        <is>
          <t>No</t>
        </is>
      </c>
      <c r="R549" s="6">
        <f>IF(K549="Yes",1,0)</f>
        <v/>
      </c>
      <c r="S549" s="6">
        <f>IF(K549="No",1,0)</f>
        <v/>
      </c>
      <c r="T549" s="6">
        <f>ROUND((IF(L549="",'Subscriptions'!$T$2,L549)-J549)/30.44,1)</f>
        <v/>
      </c>
      <c r="U549" s="6">
        <f>IF(AND(P549&lt;'Subscriptions'!$T$4,O549&lt;='Subscriptions'!$T$5),1,0)</f>
        <v/>
      </c>
    </row>
    <row r="550">
      <c r="A550" s="6" t="inlineStr">
        <is>
          <t>CUST-0549</t>
        </is>
      </c>
      <c r="B550" s="6" t="inlineStr">
        <is>
          <t>Starter</t>
        </is>
      </c>
      <c r="C550" s="6" t="inlineStr">
        <is>
          <t>Annual</t>
        </is>
      </c>
      <c r="D550" s="6" t="inlineStr">
        <is>
          <t>Legal</t>
        </is>
      </c>
      <c r="E550" s="6" t="inlineStr">
        <is>
          <t>11-50</t>
        </is>
      </c>
      <c r="F550" s="6" t="n">
        <v>30</v>
      </c>
      <c r="G550" s="6" t="n">
        <v>131.88</v>
      </c>
      <c r="H550" s="6" t="inlineStr">
        <is>
          <t>Partner</t>
        </is>
      </c>
      <c r="I550" s="6" t="inlineStr">
        <is>
          <t>North America</t>
        </is>
      </c>
      <c r="J550" s="7" t="n">
        <v>44640</v>
      </c>
      <c r="K550" s="6" t="inlineStr">
        <is>
          <t>Yes</t>
        </is>
      </c>
      <c r="L550" s="7" t="n">
        <v>44656</v>
      </c>
      <c r="M550" s="6" t="inlineStr">
        <is>
          <t>Company Closed</t>
        </is>
      </c>
      <c r="N550" s="6" t="n">
        <v>7</v>
      </c>
      <c r="O550" s="6" t="n">
        <v>1</v>
      </c>
      <c r="P550" s="6" t="n">
        <v>28</v>
      </c>
      <c r="Q550" s="6" t="inlineStr">
        <is>
          <t>No</t>
        </is>
      </c>
      <c r="R550" s="6">
        <f>IF(K550="Yes",1,0)</f>
        <v/>
      </c>
      <c r="S550" s="6">
        <f>IF(K550="No",1,0)</f>
        <v/>
      </c>
      <c r="T550" s="6">
        <f>ROUND((IF(L550="",'Subscriptions'!$T$2,L550)-J550)/30.44,1)</f>
        <v/>
      </c>
      <c r="U550" s="6">
        <f>IF(AND(P550&lt;'Subscriptions'!$T$4,O550&lt;='Subscriptions'!$T$5),1,0)</f>
        <v/>
      </c>
    </row>
    <row r="551">
      <c r="A551" s="6" t="inlineStr">
        <is>
          <t>CUST-0550</t>
        </is>
      </c>
      <c r="B551" s="6" t="inlineStr">
        <is>
          <t>Starter</t>
        </is>
      </c>
      <c r="C551" s="6" t="inlineStr">
        <is>
          <t>Monthly</t>
        </is>
      </c>
      <c r="D551" s="6" t="inlineStr">
        <is>
          <t>Technology</t>
        </is>
      </c>
      <c r="E551" s="6" t="inlineStr">
        <is>
          <t>11-50</t>
        </is>
      </c>
      <c r="F551" s="6" t="n">
        <v>31</v>
      </c>
      <c r="G551" s="6" t="n">
        <v>159.5</v>
      </c>
      <c r="H551" s="6" t="inlineStr">
        <is>
          <t>Organic Search</t>
        </is>
      </c>
      <c r="I551" s="6" t="inlineStr">
        <is>
          <t>Asia Pacific</t>
        </is>
      </c>
      <c r="J551" s="7" t="n">
        <v>45407</v>
      </c>
      <c r="K551" s="6" t="inlineStr">
        <is>
          <t>Yes</t>
        </is>
      </c>
      <c r="L551" s="7" t="n">
        <v>45537</v>
      </c>
      <c r="M551" s="6" t="inlineStr">
        <is>
          <t>No Longer Needed</t>
        </is>
      </c>
      <c r="N551" s="6" t="n">
        <v>1</v>
      </c>
      <c r="O551" s="6" t="n">
        <v>6</v>
      </c>
      <c r="P551" s="6" t="n">
        <v>33</v>
      </c>
      <c r="Q551" s="6" t="inlineStr">
        <is>
          <t>No</t>
        </is>
      </c>
      <c r="R551" s="6">
        <f>IF(K551="Yes",1,0)</f>
        <v/>
      </c>
      <c r="S551" s="6">
        <f>IF(K551="No",1,0)</f>
        <v/>
      </c>
      <c r="T551" s="6">
        <f>ROUND((IF(L551="",'Subscriptions'!$T$2,L551)-J551)/30.44,1)</f>
        <v/>
      </c>
      <c r="U551" s="6">
        <f>IF(AND(P551&lt;'Subscriptions'!$T$4,O551&lt;='Subscriptions'!$T$5),1,0)</f>
        <v/>
      </c>
    </row>
    <row r="552">
      <c r="A552" s="6" t="inlineStr">
        <is>
          <t>CUST-0551</t>
        </is>
      </c>
      <c r="B552" s="6" t="inlineStr">
        <is>
          <t>Professional</t>
        </is>
      </c>
      <c r="C552" s="6" t="inlineStr">
        <is>
          <t>Annual</t>
        </is>
      </c>
      <c r="D552" s="6" t="inlineStr">
        <is>
          <t>Consulting</t>
        </is>
      </c>
      <c r="E552" s="6" t="inlineStr">
        <is>
          <t>500+</t>
        </is>
      </c>
      <c r="F552" s="6" t="n">
        <v>187</v>
      </c>
      <c r="G552" s="6" t="n">
        <v>1940.63</v>
      </c>
      <c r="H552" s="6" t="inlineStr">
        <is>
          <t>Paid Ads</t>
        </is>
      </c>
      <c r="I552" s="6" t="inlineStr">
        <is>
          <t>North America</t>
        </is>
      </c>
      <c r="J552" s="7" t="n">
        <v>45938</v>
      </c>
      <c r="K552" s="6" t="inlineStr">
        <is>
          <t>No</t>
        </is>
      </c>
      <c r="L552" s="7" t="n"/>
      <c r="M552" s="6" t="n"/>
      <c r="N552" s="6" t="n">
        <v>1</v>
      </c>
      <c r="O552" s="6" t="n">
        <v>3</v>
      </c>
      <c r="P552" s="6" t="n">
        <v>53</v>
      </c>
      <c r="Q552" s="6" t="inlineStr">
        <is>
          <t>No</t>
        </is>
      </c>
      <c r="R552" s="6">
        <f>IF(K552="Yes",1,0)</f>
        <v/>
      </c>
      <c r="S552" s="6">
        <f>IF(K552="No",1,0)</f>
        <v/>
      </c>
      <c r="T552" s="6">
        <f>ROUND((IF(L552="",'Subscriptions'!$T$2,L552)-J552)/30.44,1)</f>
        <v/>
      </c>
      <c r="U552" s="6">
        <f>IF(AND(P552&lt;'Subscriptions'!$T$4,O552&lt;='Subscriptions'!$T$5),1,0)</f>
        <v/>
      </c>
    </row>
    <row r="553">
      <c r="A553" s="6" t="inlineStr">
        <is>
          <t>CUST-0552</t>
        </is>
      </c>
      <c r="B553" s="6" t="inlineStr">
        <is>
          <t>Starter</t>
        </is>
      </c>
      <c r="C553" s="6" t="inlineStr">
        <is>
          <t>Monthly</t>
        </is>
      </c>
      <c r="D553" s="6" t="inlineStr">
        <is>
          <t>Education</t>
        </is>
      </c>
      <c r="E553" s="6" t="inlineStr">
        <is>
          <t>11-50</t>
        </is>
      </c>
      <c r="F553" s="6" t="n">
        <v>9</v>
      </c>
      <c r="G553" s="6" t="n">
        <v>63.8</v>
      </c>
      <c r="H553" s="6" t="inlineStr">
        <is>
          <t>Direct Sales</t>
        </is>
      </c>
      <c r="I553" s="6" t="inlineStr">
        <is>
          <t>North America</t>
        </is>
      </c>
      <c r="J553" s="7" t="n">
        <v>45726</v>
      </c>
      <c r="K553" s="6" t="inlineStr">
        <is>
          <t>No</t>
        </is>
      </c>
      <c r="L553" s="7" t="n"/>
      <c r="M553" s="6" t="n"/>
      <c r="N553" s="6" t="n">
        <v>9</v>
      </c>
      <c r="O553" s="6" t="n">
        <v>3</v>
      </c>
      <c r="P553" s="6" t="n">
        <v>22</v>
      </c>
      <c r="Q553" s="6" t="inlineStr">
        <is>
          <t>No</t>
        </is>
      </c>
      <c r="R553" s="6">
        <f>IF(K553="Yes",1,0)</f>
        <v/>
      </c>
      <c r="S553" s="6">
        <f>IF(K553="No",1,0)</f>
        <v/>
      </c>
      <c r="T553" s="6">
        <f>ROUND((IF(L553="",'Subscriptions'!$T$2,L553)-J553)/30.44,1)</f>
        <v/>
      </c>
      <c r="U553" s="6">
        <f>IF(AND(P553&lt;'Subscriptions'!$T$4,O553&lt;='Subscriptions'!$T$5),1,0)</f>
        <v/>
      </c>
    </row>
    <row r="554">
      <c r="A554" s="6" t="inlineStr">
        <is>
          <t>CUST-0553</t>
        </is>
      </c>
      <c r="B554" s="6" t="inlineStr">
        <is>
          <t>Starter</t>
        </is>
      </c>
      <c r="C554" s="6" t="inlineStr">
        <is>
          <t>Annual</t>
        </is>
      </c>
      <c r="D554" s="6" t="inlineStr">
        <is>
          <t>Technology</t>
        </is>
      </c>
      <c r="E554" s="6" t="inlineStr">
        <is>
          <t>201-500</t>
        </is>
      </c>
      <c r="F554" s="6" t="n">
        <v>135</v>
      </c>
      <c r="G554" s="6" t="n">
        <v>520.12</v>
      </c>
      <c r="H554" s="6" t="inlineStr">
        <is>
          <t>Social Media</t>
        </is>
      </c>
      <c r="I554" s="6" t="inlineStr">
        <is>
          <t>Asia Pacific</t>
        </is>
      </c>
      <c r="J554" s="7" t="n">
        <v>45566</v>
      </c>
      <c r="K554" s="6" t="inlineStr">
        <is>
          <t>No</t>
        </is>
      </c>
      <c r="L554" s="7" t="n"/>
      <c r="M554" s="6" t="n"/>
      <c r="N554" s="6" t="n">
        <v>10</v>
      </c>
      <c r="O554" s="6" t="n">
        <v>4</v>
      </c>
      <c r="P554" s="6" t="n">
        <v>86</v>
      </c>
      <c r="Q554" s="6" t="inlineStr">
        <is>
          <t>No</t>
        </is>
      </c>
      <c r="R554" s="6">
        <f>IF(K554="Yes",1,0)</f>
        <v/>
      </c>
      <c r="S554" s="6">
        <f>IF(K554="No",1,0)</f>
        <v/>
      </c>
      <c r="T554" s="6">
        <f>ROUND((IF(L554="",'Subscriptions'!$T$2,L554)-J554)/30.44,1)</f>
        <v/>
      </c>
      <c r="U554" s="6">
        <f>IF(AND(P554&lt;'Subscriptions'!$T$4,O554&lt;='Subscriptions'!$T$5),1,0)</f>
        <v/>
      </c>
    </row>
    <row r="555">
      <c r="A555" s="6" t="inlineStr">
        <is>
          <t>CUST-0554</t>
        </is>
      </c>
      <c r="B555" s="6" t="inlineStr">
        <is>
          <t>Starter</t>
        </is>
      </c>
      <c r="C555" s="6" t="inlineStr">
        <is>
          <t>Annual</t>
        </is>
      </c>
      <c r="D555" s="6" t="inlineStr">
        <is>
          <t>Manufacturing</t>
        </is>
      </c>
      <c r="E555" s="6" t="inlineStr">
        <is>
          <t>51-200</t>
        </is>
      </c>
      <c r="F555" s="6" t="n">
        <v>39</v>
      </c>
      <c r="G555" s="6" t="n">
        <v>165.16</v>
      </c>
      <c r="H555" s="6" t="inlineStr">
        <is>
          <t>Paid Ads</t>
        </is>
      </c>
      <c r="I555" s="6" t="inlineStr">
        <is>
          <t>North America</t>
        </is>
      </c>
      <c r="J555" s="7" t="n">
        <v>44609</v>
      </c>
      <c r="K555" s="6" t="inlineStr">
        <is>
          <t>Yes</t>
        </is>
      </c>
      <c r="L555" s="7" t="n">
        <v>44814</v>
      </c>
      <c r="M555" s="6" t="inlineStr">
        <is>
          <t>Company Closed</t>
        </is>
      </c>
      <c r="N555" s="6" t="n">
        <v>8</v>
      </c>
      <c r="O555" s="6" t="n">
        <v>6</v>
      </c>
      <c r="P555" s="6" t="n">
        <v>18</v>
      </c>
      <c r="Q555" s="6" t="inlineStr">
        <is>
          <t>No</t>
        </is>
      </c>
      <c r="R555" s="6">
        <f>IF(K555="Yes",1,0)</f>
        <v/>
      </c>
      <c r="S555" s="6">
        <f>IF(K555="No",1,0)</f>
        <v/>
      </c>
      <c r="T555" s="6">
        <f>ROUND((IF(L555="",'Subscriptions'!$T$2,L555)-J555)/30.44,1)</f>
        <v/>
      </c>
      <c r="U555" s="6">
        <f>IF(AND(P555&lt;'Subscriptions'!$T$4,O555&lt;='Subscriptions'!$T$5),1,0)</f>
        <v/>
      </c>
    </row>
    <row r="556">
      <c r="A556" s="6" t="inlineStr">
        <is>
          <t>CUST-0555</t>
        </is>
      </c>
      <c r="B556" s="6" t="inlineStr">
        <is>
          <t>Business</t>
        </is>
      </c>
      <c r="C556" s="6" t="inlineStr">
        <is>
          <t>Annual</t>
        </is>
      </c>
      <c r="D556" s="6" t="inlineStr">
        <is>
          <t>Retail</t>
        </is>
      </c>
      <c r="E556" s="6" t="inlineStr">
        <is>
          <t>11-50</t>
        </is>
      </c>
      <c r="F556" s="6" t="n">
        <v>29</v>
      </c>
      <c r="G556" s="6" t="n">
        <v>879.58</v>
      </c>
      <c r="H556" s="6" t="inlineStr">
        <is>
          <t>Referral</t>
        </is>
      </c>
      <c r="I556" s="6" t="inlineStr">
        <is>
          <t>North America</t>
        </is>
      </c>
      <c r="J556" s="7" t="n">
        <v>44770</v>
      </c>
      <c r="K556" s="6" t="inlineStr">
        <is>
          <t>No</t>
        </is>
      </c>
      <c r="L556" s="7" t="n"/>
      <c r="M556" s="6" t="n"/>
      <c r="N556" s="6" t="n">
        <v>2</v>
      </c>
      <c r="O556" s="6" t="n">
        <v>5</v>
      </c>
      <c r="P556" s="6" t="n">
        <v>71</v>
      </c>
      <c r="Q556" s="6" t="inlineStr">
        <is>
          <t>No</t>
        </is>
      </c>
      <c r="R556" s="6">
        <f>IF(K556="Yes",1,0)</f>
        <v/>
      </c>
      <c r="S556" s="6">
        <f>IF(K556="No",1,0)</f>
        <v/>
      </c>
      <c r="T556" s="6">
        <f>ROUND((IF(L556="",'Subscriptions'!$T$2,L556)-J556)/30.44,1)</f>
        <v/>
      </c>
      <c r="U556" s="6">
        <f>IF(AND(P556&lt;'Subscriptions'!$T$4,O556&lt;='Subscriptions'!$T$5),1,0)</f>
        <v/>
      </c>
    </row>
    <row r="557">
      <c r="A557" s="6" t="inlineStr">
        <is>
          <t>CUST-0556</t>
        </is>
      </c>
      <c r="B557" s="6" t="inlineStr">
        <is>
          <t>Business</t>
        </is>
      </c>
      <c r="C557" s="6" t="inlineStr">
        <is>
          <t>Monthly</t>
        </is>
      </c>
      <c r="D557" s="6" t="inlineStr">
        <is>
          <t>Consulting</t>
        </is>
      </c>
      <c r="E557" s="6" t="inlineStr">
        <is>
          <t>500+</t>
        </is>
      </c>
      <c r="F557" s="6" t="n">
        <v>182</v>
      </c>
      <c r="G557" s="6" t="n">
        <v>5601.85</v>
      </c>
      <c r="H557" s="6" t="inlineStr">
        <is>
          <t>Paid Ads</t>
        </is>
      </c>
      <c r="I557" s="6" t="inlineStr">
        <is>
          <t>Latin America</t>
        </is>
      </c>
      <c r="J557" s="7" t="n">
        <v>45863</v>
      </c>
      <c r="K557" s="6" t="inlineStr">
        <is>
          <t>Yes</t>
        </is>
      </c>
      <c r="L557" s="7" t="n">
        <v>45866</v>
      </c>
      <c r="M557" s="6" t="inlineStr">
        <is>
          <t>Company Closed</t>
        </is>
      </c>
      <c r="N557" s="6" t="n">
        <v>4</v>
      </c>
      <c r="O557" s="6" t="n">
        <v>1</v>
      </c>
      <c r="P557" s="6" t="n">
        <v>21</v>
      </c>
      <c r="Q557" s="6" t="inlineStr">
        <is>
          <t>No</t>
        </is>
      </c>
      <c r="R557" s="6">
        <f>IF(K557="Yes",1,0)</f>
        <v/>
      </c>
      <c r="S557" s="6">
        <f>IF(K557="No",1,0)</f>
        <v/>
      </c>
      <c r="T557" s="6">
        <f>ROUND((IF(L557="",'Subscriptions'!$T$2,L557)-J557)/30.44,1)</f>
        <v/>
      </c>
      <c r="U557" s="6">
        <f>IF(AND(P557&lt;'Subscriptions'!$T$4,O557&lt;='Subscriptions'!$T$5),1,0)</f>
        <v/>
      </c>
    </row>
    <row r="558">
      <c r="A558" s="6" t="inlineStr">
        <is>
          <t>CUST-0557</t>
        </is>
      </c>
      <c r="B558" s="6" t="inlineStr">
        <is>
          <t>Starter</t>
        </is>
      </c>
      <c r="C558" s="6" t="inlineStr">
        <is>
          <t>Monthly</t>
        </is>
      </c>
      <c r="D558" s="6" t="inlineStr">
        <is>
          <t>Finance</t>
        </is>
      </c>
      <c r="E558" s="6" t="inlineStr">
        <is>
          <t>201-500</t>
        </is>
      </c>
      <c r="F558" s="6" t="n">
        <v>82</v>
      </c>
      <c r="G558" s="6" t="n">
        <v>381.35</v>
      </c>
      <c r="H558" s="6" t="inlineStr">
        <is>
          <t>Referral</t>
        </is>
      </c>
      <c r="I558" s="6" t="inlineStr">
        <is>
          <t>North America</t>
        </is>
      </c>
      <c r="J558" s="7" t="n">
        <v>45941</v>
      </c>
      <c r="K558" s="6" t="inlineStr">
        <is>
          <t>No</t>
        </is>
      </c>
      <c r="L558" s="7" t="n"/>
      <c r="M558" s="6" t="n"/>
      <c r="N558" s="6" t="n">
        <v>1</v>
      </c>
      <c r="O558" s="6" t="n">
        <v>6</v>
      </c>
      <c r="P558" s="6" t="n">
        <v>33</v>
      </c>
      <c r="Q558" s="6" t="inlineStr">
        <is>
          <t>No</t>
        </is>
      </c>
      <c r="R558" s="6">
        <f>IF(K558="Yes",1,0)</f>
        <v/>
      </c>
      <c r="S558" s="6">
        <f>IF(K558="No",1,0)</f>
        <v/>
      </c>
      <c r="T558" s="6">
        <f>ROUND((IF(L558="",'Subscriptions'!$T$2,L558)-J558)/30.44,1)</f>
        <v/>
      </c>
      <c r="U558" s="6">
        <f>IF(AND(P558&lt;'Subscriptions'!$T$4,O558&lt;='Subscriptions'!$T$5),1,0)</f>
        <v/>
      </c>
    </row>
    <row r="559">
      <c r="A559" s="6" t="inlineStr">
        <is>
          <t>CUST-0558</t>
        </is>
      </c>
      <c r="B559" s="6" t="inlineStr">
        <is>
          <t>Business</t>
        </is>
      </c>
      <c r="C559" s="6" t="inlineStr">
        <is>
          <t>Monthly</t>
        </is>
      </c>
      <c r="D559" s="6" t="inlineStr">
        <is>
          <t>Education</t>
        </is>
      </c>
      <c r="E559" s="6" t="inlineStr">
        <is>
          <t>201-500</t>
        </is>
      </c>
      <c r="F559" s="6" t="n">
        <v>74</v>
      </c>
      <c r="G559" s="6" t="n">
        <v>2378.05</v>
      </c>
      <c r="H559" s="6" t="inlineStr">
        <is>
          <t>Organic Search</t>
        </is>
      </c>
      <c r="I559" s="6" t="inlineStr">
        <is>
          <t>Europe</t>
        </is>
      </c>
      <c r="J559" s="7" t="n">
        <v>45772</v>
      </c>
      <c r="K559" s="6" t="inlineStr">
        <is>
          <t>No</t>
        </is>
      </c>
      <c r="L559" s="7" t="n"/>
      <c r="M559" s="6" t="n"/>
      <c r="N559" s="6" t="n">
        <v>0</v>
      </c>
      <c r="O559" s="6" t="n">
        <v>9</v>
      </c>
      <c r="P559" s="6" t="n">
        <v>71</v>
      </c>
      <c r="Q559" s="6" t="inlineStr">
        <is>
          <t>Yes</t>
        </is>
      </c>
      <c r="R559" s="6">
        <f>IF(K559="Yes",1,0)</f>
        <v/>
      </c>
      <c r="S559" s="6">
        <f>IF(K559="No",1,0)</f>
        <v/>
      </c>
      <c r="T559" s="6">
        <f>ROUND((IF(L559="",'Subscriptions'!$T$2,L559)-J559)/30.44,1)</f>
        <v/>
      </c>
      <c r="U559" s="6">
        <f>IF(AND(P559&lt;'Subscriptions'!$T$4,O559&lt;='Subscriptions'!$T$5),1,0)</f>
        <v/>
      </c>
    </row>
    <row r="560">
      <c r="A560" s="6" t="inlineStr">
        <is>
          <t>CUST-0559</t>
        </is>
      </c>
      <c r="B560" s="6" t="inlineStr">
        <is>
          <t>Professional</t>
        </is>
      </c>
      <c r="C560" s="6" t="inlineStr">
        <is>
          <t>Annual</t>
        </is>
      </c>
      <c r="D560" s="6" t="inlineStr">
        <is>
          <t>Healthcare</t>
        </is>
      </c>
      <c r="E560" s="6" t="inlineStr">
        <is>
          <t>11-50</t>
        </is>
      </c>
      <c r="F560" s="6" t="n">
        <v>30</v>
      </c>
      <c r="G560" s="6" t="n">
        <v>359.25</v>
      </c>
      <c r="H560" s="6" t="inlineStr">
        <is>
          <t>Partner</t>
        </is>
      </c>
      <c r="I560" s="6" t="inlineStr">
        <is>
          <t>North America</t>
        </is>
      </c>
      <c r="J560" s="7" t="n">
        <v>44892</v>
      </c>
      <c r="K560" s="6" t="inlineStr">
        <is>
          <t>Yes</t>
        </is>
      </c>
      <c r="L560" s="7" t="n">
        <v>45180</v>
      </c>
      <c r="M560" s="6" t="inlineStr">
        <is>
          <t>Budget Cuts</t>
        </is>
      </c>
      <c r="N560" s="6" t="n">
        <v>11</v>
      </c>
      <c r="O560" s="6" t="n">
        <v>1</v>
      </c>
      <c r="P560" s="6" t="n">
        <v>26</v>
      </c>
      <c r="Q560" s="6" t="inlineStr">
        <is>
          <t>No</t>
        </is>
      </c>
      <c r="R560" s="6">
        <f>IF(K560="Yes",1,0)</f>
        <v/>
      </c>
      <c r="S560" s="6">
        <f>IF(K560="No",1,0)</f>
        <v/>
      </c>
      <c r="T560" s="6">
        <f>ROUND((IF(L560="",'Subscriptions'!$T$2,L560)-J560)/30.44,1)</f>
        <v/>
      </c>
      <c r="U560" s="6">
        <f>IF(AND(P560&lt;'Subscriptions'!$T$4,O560&lt;='Subscriptions'!$T$5),1,0)</f>
        <v/>
      </c>
    </row>
    <row r="561">
      <c r="A561" s="6" t="inlineStr">
        <is>
          <t>CUST-0560</t>
        </is>
      </c>
      <c r="B561" s="6" t="inlineStr">
        <is>
          <t>Starter</t>
        </is>
      </c>
      <c r="C561" s="6" t="inlineStr">
        <is>
          <t>Monthly</t>
        </is>
      </c>
      <c r="D561" s="6" t="inlineStr">
        <is>
          <t>Legal</t>
        </is>
      </c>
      <c r="E561" s="6" t="inlineStr">
        <is>
          <t>11-50</t>
        </is>
      </c>
      <c r="F561" s="6" t="n">
        <v>6</v>
      </c>
      <c r="G561" s="6" t="n">
        <v>50.75</v>
      </c>
      <c r="H561" s="6" t="inlineStr">
        <is>
          <t>Organic Search</t>
        </is>
      </c>
      <c r="I561" s="6" t="inlineStr">
        <is>
          <t>Asia Pacific</t>
        </is>
      </c>
      <c r="J561" s="7" t="n">
        <v>45516</v>
      </c>
      <c r="K561" s="6" t="inlineStr">
        <is>
          <t>Yes</t>
        </is>
      </c>
      <c r="L561" s="7" t="n">
        <v>45832</v>
      </c>
      <c r="M561" s="6" t="inlineStr">
        <is>
          <t>Price Too High</t>
        </is>
      </c>
      <c r="N561" s="6" t="n">
        <v>9</v>
      </c>
      <c r="O561" s="6" t="n">
        <v>1</v>
      </c>
      <c r="P561" s="6" t="n">
        <v>45</v>
      </c>
      <c r="Q561" s="6" t="inlineStr">
        <is>
          <t>No</t>
        </is>
      </c>
      <c r="R561" s="6">
        <f>IF(K561="Yes",1,0)</f>
        <v/>
      </c>
      <c r="S561" s="6">
        <f>IF(K561="No",1,0)</f>
        <v/>
      </c>
      <c r="T561" s="6">
        <f>ROUND((IF(L561="",'Subscriptions'!$T$2,L561)-J561)/30.44,1)</f>
        <v/>
      </c>
      <c r="U561" s="6">
        <f>IF(AND(P561&lt;'Subscriptions'!$T$4,O561&lt;='Subscriptions'!$T$5),1,0)</f>
        <v/>
      </c>
    </row>
    <row r="562">
      <c r="A562" s="6" t="inlineStr">
        <is>
          <t>CUST-0561</t>
        </is>
      </c>
      <c r="B562" s="6" t="inlineStr">
        <is>
          <t>Enterprise</t>
        </is>
      </c>
      <c r="C562" s="6" t="inlineStr">
        <is>
          <t>Monthly</t>
        </is>
      </c>
      <c r="D562" s="6" t="inlineStr">
        <is>
          <t>Legal</t>
        </is>
      </c>
      <c r="E562" s="6" t="inlineStr">
        <is>
          <t>11-50</t>
        </is>
      </c>
      <c r="F562" s="6" t="n">
        <v>17</v>
      </c>
      <c r="G562" s="6" t="n">
        <v>1696.6</v>
      </c>
      <c r="H562" s="6" t="inlineStr">
        <is>
          <t>Organic Search</t>
        </is>
      </c>
      <c r="I562" s="6" t="inlineStr">
        <is>
          <t>Asia Pacific</t>
        </is>
      </c>
      <c r="J562" s="7" t="n">
        <v>45128</v>
      </c>
      <c r="K562" s="6" t="inlineStr">
        <is>
          <t>No</t>
        </is>
      </c>
      <c r="L562" s="7" t="n"/>
      <c r="M562" s="6" t="n"/>
      <c r="N562" s="6" t="n">
        <v>9</v>
      </c>
      <c r="O562" s="6" t="n">
        <v>3</v>
      </c>
      <c r="P562" s="6" t="n">
        <v>41</v>
      </c>
      <c r="Q562" s="6" t="inlineStr">
        <is>
          <t>No</t>
        </is>
      </c>
      <c r="R562" s="6">
        <f>IF(K562="Yes",1,0)</f>
        <v/>
      </c>
      <c r="S562" s="6">
        <f>IF(K562="No",1,0)</f>
        <v/>
      </c>
      <c r="T562" s="6">
        <f>ROUND((IF(L562="",'Subscriptions'!$T$2,L562)-J562)/30.44,1)</f>
        <v/>
      </c>
      <c r="U562" s="6">
        <f>IF(AND(P562&lt;'Subscriptions'!$T$4,O562&lt;='Subscriptions'!$T$5),1,0)</f>
        <v/>
      </c>
    </row>
    <row r="563">
      <c r="A563" s="6" t="inlineStr">
        <is>
          <t>CUST-0562</t>
        </is>
      </c>
      <c r="B563" s="6" t="inlineStr">
        <is>
          <t>Business</t>
        </is>
      </c>
      <c r="C563" s="6" t="inlineStr">
        <is>
          <t>Monthly</t>
        </is>
      </c>
      <c r="D563" s="6" t="inlineStr">
        <is>
          <t>Healthcare</t>
        </is>
      </c>
      <c r="E563" s="6" t="inlineStr">
        <is>
          <t>51-200</t>
        </is>
      </c>
      <c r="F563" s="6" t="n">
        <v>30</v>
      </c>
      <c r="G563" s="6" t="n">
        <v>1064.65</v>
      </c>
      <c r="H563" s="6" t="inlineStr">
        <is>
          <t>Referral</t>
        </is>
      </c>
      <c r="I563" s="6" t="inlineStr">
        <is>
          <t>North America</t>
        </is>
      </c>
      <c r="J563" s="7" t="n">
        <v>45942</v>
      </c>
      <c r="K563" s="6" t="inlineStr">
        <is>
          <t>No</t>
        </is>
      </c>
      <c r="L563" s="7" t="n"/>
      <c r="M563" s="6" t="n"/>
      <c r="N563" s="6" t="n">
        <v>6</v>
      </c>
      <c r="O563" s="6" t="n">
        <v>10</v>
      </c>
      <c r="P563" s="6" t="n">
        <v>17</v>
      </c>
      <c r="Q563" s="6" t="inlineStr">
        <is>
          <t>No</t>
        </is>
      </c>
      <c r="R563" s="6">
        <f>IF(K563="Yes",1,0)</f>
        <v/>
      </c>
      <c r="S563" s="6">
        <f>IF(K563="No",1,0)</f>
        <v/>
      </c>
      <c r="T563" s="6">
        <f>ROUND((IF(L563="",'Subscriptions'!$T$2,L563)-J563)/30.44,1)</f>
        <v/>
      </c>
      <c r="U563" s="6">
        <f>IF(AND(P563&lt;'Subscriptions'!$T$4,O563&lt;='Subscriptions'!$T$5),1,0)</f>
        <v/>
      </c>
    </row>
    <row r="564">
      <c r="A564" s="6" t="inlineStr">
        <is>
          <t>CUST-0563</t>
        </is>
      </c>
      <c r="B564" s="6" t="inlineStr">
        <is>
          <t>Starter</t>
        </is>
      </c>
      <c r="C564" s="6" t="inlineStr">
        <is>
          <t>Monthly</t>
        </is>
      </c>
      <c r="D564" s="6" t="inlineStr">
        <is>
          <t>Technology</t>
        </is>
      </c>
      <c r="E564" s="6" t="inlineStr">
        <is>
          <t>1-10</t>
        </is>
      </c>
      <c r="F564" s="6" t="n">
        <v>8</v>
      </c>
      <c r="G564" s="6" t="n">
        <v>59.45</v>
      </c>
      <c r="H564" s="6" t="inlineStr">
        <is>
          <t>Organic Search</t>
        </is>
      </c>
      <c r="I564" s="6" t="inlineStr">
        <is>
          <t>Asia Pacific</t>
        </is>
      </c>
      <c r="J564" s="7" t="n">
        <v>45605</v>
      </c>
      <c r="K564" s="6" t="inlineStr">
        <is>
          <t>Yes</t>
        </is>
      </c>
      <c r="L564" s="7" t="n">
        <v>45791</v>
      </c>
      <c r="M564" s="6" t="inlineStr">
        <is>
          <t>Switched Competitor</t>
        </is>
      </c>
      <c r="N564" s="6" t="n">
        <v>3</v>
      </c>
      <c r="O564" s="6" t="n">
        <v>5</v>
      </c>
      <c r="P564" s="6" t="n">
        <v>27</v>
      </c>
      <c r="Q564" s="6" t="inlineStr">
        <is>
          <t>No</t>
        </is>
      </c>
      <c r="R564" s="6">
        <f>IF(K564="Yes",1,0)</f>
        <v/>
      </c>
      <c r="S564" s="6">
        <f>IF(K564="No",1,0)</f>
        <v/>
      </c>
      <c r="T564" s="6">
        <f>ROUND((IF(L564="",'Subscriptions'!$T$2,L564)-J564)/30.44,1)</f>
        <v/>
      </c>
      <c r="U564" s="6">
        <f>IF(AND(P564&lt;'Subscriptions'!$T$4,O564&lt;='Subscriptions'!$T$5),1,0)</f>
        <v/>
      </c>
    </row>
    <row r="565">
      <c r="A565" s="6" t="inlineStr">
        <is>
          <t>CUST-0564</t>
        </is>
      </c>
      <c r="B565" s="6" t="inlineStr">
        <is>
          <t>Professional</t>
        </is>
      </c>
      <c r="C565" s="6" t="inlineStr">
        <is>
          <t>Monthly</t>
        </is>
      </c>
      <c r="D565" s="6" t="inlineStr">
        <is>
          <t>Technology</t>
        </is>
      </c>
      <c r="E565" s="6" t="inlineStr">
        <is>
          <t>1-10</t>
        </is>
      </c>
      <c r="F565" s="6" t="n">
        <v>8</v>
      </c>
      <c r="G565" s="6" t="n">
        <v>161.95</v>
      </c>
      <c r="H565" s="6" t="inlineStr">
        <is>
          <t>Paid Ads</t>
        </is>
      </c>
      <c r="I565" s="6" t="inlineStr">
        <is>
          <t>Europe</t>
        </is>
      </c>
      <c r="J565" s="7" t="n">
        <v>45733</v>
      </c>
      <c r="K565" s="6" t="inlineStr">
        <is>
          <t>No</t>
        </is>
      </c>
      <c r="L565" s="7" t="n"/>
      <c r="M565" s="6" t="n"/>
      <c r="N565" s="6" t="n">
        <v>10</v>
      </c>
      <c r="O565" s="6" t="n">
        <v>10</v>
      </c>
      <c r="P565" s="6" t="n">
        <v>78</v>
      </c>
      <c r="Q565" s="6" t="inlineStr">
        <is>
          <t>No</t>
        </is>
      </c>
      <c r="R565" s="6">
        <f>IF(K565="Yes",1,0)</f>
        <v/>
      </c>
      <c r="S565" s="6">
        <f>IF(K565="No",1,0)</f>
        <v/>
      </c>
      <c r="T565" s="6">
        <f>ROUND((IF(L565="",'Subscriptions'!$T$2,L565)-J565)/30.44,1)</f>
        <v/>
      </c>
      <c r="U565" s="6">
        <f>IF(AND(P565&lt;'Subscriptions'!$T$4,O565&lt;='Subscriptions'!$T$5),1,0)</f>
        <v/>
      </c>
    </row>
    <row r="566">
      <c r="A566" s="6" t="inlineStr">
        <is>
          <t>CUST-0565</t>
        </is>
      </c>
      <c r="B566" s="6" t="inlineStr">
        <is>
          <t>Business</t>
        </is>
      </c>
      <c r="C566" s="6" t="inlineStr">
        <is>
          <t>Monthly</t>
        </is>
      </c>
      <c r="D566" s="6" t="inlineStr">
        <is>
          <t>Manufacturing</t>
        </is>
      </c>
      <c r="E566" s="6" t="inlineStr">
        <is>
          <t>1-10</t>
        </is>
      </c>
      <c r="F566" s="6" t="n">
        <v>6</v>
      </c>
      <c r="G566" s="6" t="n">
        <v>348.25</v>
      </c>
      <c r="H566" s="6" t="inlineStr">
        <is>
          <t>Referral</t>
        </is>
      </c>
      <c r="I566" s="6" t="inlineStr">
        <is>
          <t>Asia Pacific</t>
        </is>
      </c>
      <c r="J566" s="7" t="n">
        <v>45226</v>
      </c>
      <c r="K566" s="6" t="inlineStr">
        <is>
          <t>Yes</t>
        </is>
      </c>
      <c r="L566" s="7" t="n">
        <v>45963</v>
      </c>
      <c r="M566" s="6" t="inlineStr">
        <is>
          <t>Price Too High</t>
        </is>
      </c>
      <c r="N566" s="6" t="n">
        <v>10</v>
      </c>
      <c r="O566" s="6" t="n">
        <v>1</v>
      </c>
      <c r="P566" s="6" t="n">
        <v>19</v>
      </c>
      <c r="Q566" s="6" t="inlineStr">
        <is>
          <t>No</t>
        </is>
      </c>
      <c r="R566" s="6">
        <f>IF(K566="Yes",1,0)</f>
        <v/>
      </c>
      <c r="S566" s="6">
        <f>IF(K566="No",1,0)</f>
        <v/>
      </c>
      <c r="T566" s="6">
        <f>ROUND((IF(L566="",'Subscriptions'!$T$2,L566)-J566)/30.44,1)</f>
        <v/>
      </c>
      <c r="U566" s="6">
        <f>IF(AND(P566&lt;'Subscriptions'!$T$4,O566&lt;='Subscriptions'!$T$5),1,0)</f>
        <v/>
      </c>
    </row>
    <row r="567">
      <c r="A567" s="6" t="inlineStr">
        <is>
          <t>CUST-0566</t>
        </is>
      </c>
      <c r="B567" s="6" t="inlineStr">
        <is>
          <t>Professional</t>
        </is>
      </c>
      <c r="C567" s="6" t="inlineStr">
        <is>
          <t>Monthly</t>
        </is>
      </c>
      <c r="D567" s="6" t="inlineStr">
        <is>
          <t>Real Estate</t>
        </is>
      </c>
      <c r="E567" s="6" t="inlineStr">
        <is>
          <t>1-10</t>
        </is>
      </c>
      <c r="F567" s="6" t="n">
        <v>8</v>
      </c>
      <c r="G567" s="6" t="n">
        <v>161.95</v>
      </c>
      <c r="H567" s="6" t="inlineStr">
        <is>
          <t>Organic Search</t>
        </is>
      </c>
      <c r="I567" s="6" t="inlineStr">
        <is>
          <t>Europe</t>
        </is>
      </c>
      <c r="J567" s="7" t="n">
        <v>44797</v>
      </c>
      <c r="K567" s="6" t="inlineStr">
        <is>
          <t>Yes</t>
        </is>
      </c>
      <c r="L567" s="7" t="n">
        <v>44827</v>
      </c>
      <c r="M567" s="6" t="inlineStr">
        <is>
          <t>Budget Cuts</t>
        </is>
      </c>
      <c r="N567" s="6" t="n">
        <v>1</v>
      </c>
      <c r="O567" s="6" t="n">
        <v>3</v>
      </c>
      <c r="P567" s="6" t="n">
        <v>15</v>
      </c>
      <c r="Q567" s="6" t="inlineStr">
        <is>
          <t>No</t>
        </is>
      </c>
      <c r="R567" s="6">
        <f>IF(K567="Yes",1,0)</f>
        <v/>
      </c>
      <c r="S567" s="6">
        <f>IF(K567="No",1,0)</f>
        <v/>
      </c>
      <c r="T567" s="6">
        <f>ROUND((IF(L567="",'Subscriptions'!$T$2,L567)-J567)/30.44,1)</f>
        <v/>
      </c>
      <c r="U567" s="6">
        <f>IF(AND(P567&lt;'Subscriptions'!$T$4,O567&lt;='Subscriptions'!$T$5),1,0)</f>
        <v/>
      </c>
    </row>
    <row r="568">
      <c r="A568" s="6" t="inlineStr">
        <is>
          <t>CUST-0567</t>
        </is>
      </c>
      <c r="B568" s="6" t="inlineStr">
        <is>
          <t>Starter</t>
        </is>
      </c>
      <c r="C568" s="6" t="inlineStr">
        <is>
          <t>Annual</t>
        </is>
      </c>
      <c r="D568" s="6" t="inlineStr">
        <is>
          <t>Manufacturing</t>
        </is>
      </c>
      <c r="E568" s="6" t="inlineStr">
        <is>
          <t>11-50</t>
        </is>
      </c>
      <c r="F568" s="6" t="n">
        <v>27</v>
      </c>
      <c r="G568" s="6" t="n">
        <v>120.78</v>
      </c>
      <c r="H568" s="6" t="inlineStr">
        <is>
          <t>Direct Sales</t>
        </is>
      </c>
      <c r="I568" s="6" t="inlineStr">
        <is>
          <t>Europe</t>
        </is>
      </c>
      <c r="J568" s="7" t="n">
        <v>45465</v>
      </c>
      <c r="K568" s="6" t="inlineStr">
        <is>
          <t>Yes</t>
        </is>
      </c>
      <c r="L568" s="7" t="n">
        <v>45522</v>
      </c>
      <c r="M568" s="6" t="inlineStr">
        <is>
          <t>Budget Cuts</t>
        </is>
      </c>
      <c r="N568" s="6" t="n">
        <v>10</v>
      </c>
      <c r="O568" s="6" t="n">
        <v>4</v>
      </c>
      <c r="P568" s="6" t="n">
        <v>11</v>
      </c>
      <c r="Q568" s="6" t="inlineStr">
        <is>
          <t>No</t>
        </is>
      </c>
      <c r="R568" s="6">
        <f>IF(K568="Yes",1,0)</f>
        <v/>
      </c>
      <c r="S568" s="6">
        <f>IF(K568="No",1,0)</f>
        <v/>
      </c>
      <c r="T568" s="6">
        <f>ROUND((IF(L568="",'Subscriptions'!$T$2,L568)-J568)/30.44,1)</f>
        <v/>
      </c>
      <c r="U568" s="6">
        <f>IF(AND(P568&lt;'Subscriptions'!$T$4,O568&lt;='Subscriptions'!$T$5),1,0)</f>
        <v/>
      </c>
    </row>
    <row r="569">
      <c r="A569" s="6" t="inlineStr">
        <is>
          <t>CUST-0568</t>
        </is>
      </c>
      <c r="B569" s="6" t="inlineStr">
        <is>
          <t>Starter</t>
        </is>
      </c>
      <c r="C569" s="6" t="inlineStr">
        <is>
          <t>Annual</t>
        </is>
      </c>
      <c r="D569" s="6" t="inlineStr">
        <is>
          <t>Education</t>
        </is>
      </c>
      <c r="E569" s="6" t="inlineStr">
        <is>
          <t>51-200</t>
        </is>
      </c>
      <c r="F569" s="6" t="n">
        <v>50</v>
      </c>
      <c r="G569" s="6" t="n">
        <v>205.83</v>
      </c>
      <c r="H569" s="6" t="inlineStr">
        <is>
          <t>Referral</t>
        </is>
      </c>
      <c r="I569" s="6" t="inlineStr">
        <is>
          <t>North America</t>
        </is>
      </c>
      <c r="J569" s="7" t="n">
        <v>45802</v>
      </c>
      <c r="K569" s="6" t="inlineStr">
        <is>
          <t>No</t>
        </is>
      </c>
      <c r="L569" s="7" t="n"/>
      <c r="M569" s="6" t="n"/>
      <c r="N569" s="6" t="n">
        <v>5</v>
      </c>
      <c r="O569" s="6" t="n">
        <v>8</v>
      </c>
      <c r="P569" s="6" t="n">
        <v>66</v>
      </c>
      <c r="Q569" s="6" t="inlineStr">
        <is>
          <t>No</t>
        </is>
      </c>
      <c r="R569" s="6">
        <f>IF(K569="Yes",1,0)</f>
        <v/>
      </c>
      <c r="S569" s="6">
        <f>IF(K569="No",1,0)</f>
        <v/>
      </c>
      <c r="T569" s="6">
        <f>ROUND((IF(L569="",'Subscriptions'!$T$2,L569)-J569)/30.44,1)</f>
        <v/>
      </c>
      <c r="U569" s="6">
        <f>IF(AND(P569&lt;'Subscriptions'!$T$4,O569&lt;='Subscriptions'!$T$5),1,0)</f>
        <v/>
      </c>
    </row>
    <row r="570">
      <c r="A570" s="6" t="inlineStr">
        <is>
          <t>CUST-0569</t>
        </is>
      </c>
      <c r="B570" s="6" t="inlineStr">
        <is>
          <t>Professional</t>
        </is>
      </c>
      <c r="C570" s="6" t="inlineStr">
        <is>
          <t>Monthly</t>
        </is>
      </c>
      <c r="D570" s="6" t="inlineStr">
        <is>
          <t>Healthcare</t>
        </is>
      </c>
      <c r="E570" s="6" t="inlineStr">
        <is>
          <t>11-50</t>
        </is>
      </c>
      <c r="F570" s="6" t="n">
        <v>13</v>
      </c>
      <c r="G570" s="6" t="n">
        <v>221.2</v>
      </c>
      <c r="H570" s="6" t="inlineStr">
        <is>
          <t>Organic Search</t>
        </is>
      </c>
      <c r="I570" s="6" t="inlineStr">
        <is>
          <t>Europe</t>
        </is>
      </c>
      <c r="J570" s="7" t="n">
        <v>45808</v>
      </c>
      <c r="K570" s="6" t="inlineStr">
        <is>
          <t>No</t>
        </is>
      </c>
      <c r="L570" s="7" t="n"/>
      <c r="M570" s="6" t="n"/>
      <c r="N570" s="6" t="n">
        <v>5</v>
      </c>
      <c r="O570" s="6" t="n">
        <v>5</v>
      </c>
      <c r="P570" s="6" t="n">
        <v>53</v>
      </c>
      <c r="Q570" s="6" t="inlineStr">
        <is>
          <t>No</t>
        </is>
      </c>
      <c r="R570" s="6">
        <f>IF(K570="Yes",1,0)</f>
        <v/>
      </c>
      <c r="S570" s="6">
        <f>IF(K570="No",1,0)</f>
        <v/>
      </c>
      <c r="T570" s="6">
        <f>ROUND((IF(L570="",'Subscriptions'!$T$2,L570)-J570)/30.44,1)</f>
        <v/>
      </c>
      <c r="U570" s="6">
        <f>IF(AND(P570&lt;'Subscriptions'!$T$4,O570&lt;='Subscriptions'!$T$5),1,0)</f>
        <v/>
      </c>
    </row>
    <row r="571">
      <c r="A571" s="6" t="inlineStr">
        <is>
          <t>CUST-0570</t>
        </is>
      </c>
      <c r="B571" s="6" t="inlineStr">
        <is>
          <t>Business</t>
        </is>
      </c>
      <c r="C571" s="6" t="inlineStr">
        <is>
          <t>Annual</t>
        </is>
      </c>
      <c r="D571" s="6" t="inlineStr">
        <is>
          <t>Technology</t>
        </is>
      </c>
      <c r="E571" s="6" t="inlineStr">
        <is>
          <t>11-50</t>
        </is>
      </c>
      <c r="F571" s="6" t="n">
        <v>23</v>
      </c>
      <c r="G571" s="6" t="n">
        <v>727.34</v>
      </c>
      <c r="H571" s="6" t="inlineStr">
        <is>
          <t>Organic Search</t>
        </is>
      </c>
      <c r="I571" s="6" t="inlineStr">
        <is>
          <t>North America</t>
        </is>
      </c>
      <c r="J571" s="7" t="n">
        <v>45419</v>
      </c>
      <c r="K571" s="6" t="inlineStr">
        <is>
          <t>No</t>
        </is>
      </c>
      <c r="L571" s="7" t="n"/>
      <c r="M571" s="6" t="n"/>
      <c r="N571" s="6" t="n">
        <v>2</v>
      </c>
      <c r="O571" s="6" t="n">
        <v>5</v>
      </c>
      <c r="P571" s="6" t="n">
        <v>19</v>
      </c>
      <c r="Q571" s="6" t="inlineStr">
        <is>
          <t>No</t>
        </is>
      </c>
      <c r="R571" s="6">
        <f>IF(K571="Yes",1,0)</f>
        <v/>
      </c>
      <c r="S571" s="6">
        <f>IF(K571="No",1,0)</f>
        <v/>
      </c>
      <c r="T571" s="6">
        <f>ROUND((IF(L571="",'Subscriptions'!$T$2,L571)-J571)/30.44,1)</f>
        <v/>
      </c>
      <c r="U571" s="6">
        <f>IF(AND(P571&lt;'Subscriptions'!$T$4,O571&lt;='Subscriptions'!$T$5),1,0)</f>
        <v/>
      </c>
    </row>
    <row r="572">
      <c r="A572" s="6" t="inlineStr">
        <is>
          <t>CUST-0571</t>
        </is>
      </c>
      <c r="B572" s="6" t="inlineStr">
        <is>
          <t>Starter</t>
        </is>
      </c>
      <c r="C572" s="6" t="inlineStr">
        <is>
          <t>Monthly</t>
        </is>
      </c>
      <c r="D572" s="6" t="inlineStr">
        <is>
          <t>Legal</t>
        </is>
      </c>
      <c r="E572" s="6" t="inlineStr">
        <is>
          <t>1-10</t>
        </is>
      </c>
      <c r="F572" s="6" t="n">
        <v>2</v>
      </c>
      <c r="G572" s="6" t="n">
        <v>33.35</v>
      </c>
      <c r="H572" s="6" t="inlineStr">
        <is>
          <t>Referral</t>
        </is>
      </c>
      <c r="I572" s="6" t="inlineStr">
        <is>
          <t>North America</t>
        </is>
      </c>
      <c r="J572" s="7" t="n">
        <v>44598</v>
      </c>
      <c r="K572" s="6" t="inlineStr">
        <is>
          <t>Yes</t>
        </is>
      </c>
      <c r="L572" s="7" t="n">
        <v>44606</v>
      </c>
      <c r="M572" s="6" t="inlineStr">
        <is>
          <t>Switched Competitor</t>
        </is>
      </c>
      <c r="N572" s="6" t="n">
        <v>15</v>
      </c>
      <c r="O572" s="6" t="n">
        <v>1</v>
      </c>
      <c r="P572" s="6" t="n">
        <v>15</v>
      </c>
      <c r="Q572" s="6" t="inlineStr">
        <is>
          <t>No</t>
        </is>
      </c>
      <c r="R572" s="6">
        <f>IF(K572="Yes",1,0)</f>
        <v/>
      </c>
      <c r="S572" s="6">
        <f>IF(K572="No",1,0)</f>
        <v/>
      </c>
      <c r="T572" s="6">
        <f>ROUND((IF(L572="",'Subscriptions'!$T$2,L572)-J572)/30.44,1)</f>
        <v/>
      </c>
      <c r="U572" s="6">
        <f>IF(AND(P572&lt;'Subscriptions'!$T$4,O572&lt;='Subscriptions'!$T$5),1,0)</f>
        <v/>
      </c>
    </row>
    <row r="573">
      <c r="A573" s="6" t="inlineStr">
        <is>
          <t>CUST-0572</t>
        </is>
      </c>
      <c r="B573" s="6" t="inlineStr">
        <is>
          <t>Starter</t>
        </is>
      </c>
      <c r="C573" s="6" t="inlineStr">
        <is>
          <t>Monthly</t>
        </is>
      </c>
      <c r="D573" s="6" t="inlineStr">
        <is>
          <t>Manufacturing</t>
        </is>
      </c>
      <c r="E573" s="6" t="inlineStr">
        <is>
          <t>1-10</t>
        </is>
      </c>
      <c r="F573" s="6" t="n">
        <v>3</v>
      </c>
      <c r="G573" s="6" t="n">
        <v>37.7</v>
      </c>
      <c r="H573" s="6" t="inlineStr">
        <is>
          <t>Social Media</t>
        </is>
      </c>
      <c r="I573" s="6" t="inlineStr">
        <is>
          <t>Asia Pacific</t>
        </is>
      </c>
      <c r="J573" s="7" t="n">
        <v>44873</v>
      </c>
      <c r="K573" s="6" t="inlineStr">
        <is>
          <t>Yes</t>
        </is>
      </c>
      <c r="L573" s="7" t="n">
        <v>45154</v>
      </c>
      <c r="M573" s="6" t="inlineStr">
        <is>
          <t>Switched Competitor</t>
        </is>
      </c>
      <c r="N573" s="6" t="n">
        <v>6</v>
      </c>
      <c r="O573" s="6" t="n">
        <v>5</v>
      </c>
      <c r="P573" s="6" t="n">
        <v>33</v>
      </c>
      <c r="Q573" s="6" t="inlineStr">
        <is>
          <t>No</t>
        </is>
      </c>
      <c r="R573" s="6">
        <f>IF(K573="Yes",1,0)</f>
        <v/>
      </c>
      <c r="S573" s="6">
        <f>IF(K573="No",1,0)</f>
        <v/>
      </c>
      <c r="T573" s="6">
        <f>ROUND((IF(L573="",'Subscriptions'!$T$2,L573)-J573)/30.44,1)</f>
        <v/>
      </c>
      <c r="U573" s="6">
        <f>IF(AND(P573&lt;'Subscriptions'!$T$4,O573&lt;='Subscriptions'!$T$5),1,0)</f>
        <v/>
      </c>
    </row>
    <row r="574">
      <c r="A574" s="6" t="inlineStr">
        <is>
          <t>CUST-0573</t>
        </is>
      </c>
      <c r="B574" s="6" t="inlineStr">
        <is>
          <t>Professional</t>
        </is>
      </c>
      <c r="C574" s="6" t="inlineStr">
        <is>
          <t>Annual</t>
        </is>
      </c>
      <c r="D574" s="6" t="inlineStr">
        <is>
          <t>Consulting</t>
        </is>
      </c>
      <c r="E574" s="6" t="inlineStr">
        <is>
          <t>51-200</t>
        </is>
      </c>
      <c r="F574" s="6" t="n">
        <v>34</v>
      </c>
      <c r="G574" s="6" t="n">
        <v>399.54</v>
      </c>
      <c r="H574" s="6" t="inlineStr">
        <is>
          <t>Partner</t>
        </is>
      </c>
      <c r="I574" s="6" t="inlineStr">
        <is>
          <t>Asia Pacific</t>
        </is>
      </c>
      <c r="J574" s="7" t="n">
        <v>44789</v>
      </c>
      <c r="K574" s="6" t="inlineStr">
        <is>
          <t>No</t>
        </is>
      </c>
      <c r="L574" s="7" t="n"/>
      <c r="M574" s="6" t="n"/>
      <c r="N574" s="6" t="n">
        <v>6</v>
      </c>
      <c r="O574" s="6" t="n">
        <v>5</v>
      </c>
      <c r="P574" s="6" t="n">
        <v>39</v>
      </c>
      <c r="Q574" s="6" t="inlineStr">
        <is>
          <t>No</t>
        </is>
      </c>
      <c r="R574" s="6">
        <f>IF(K574="Yes",1,0)</f>
        <v/>
      </c>
      <c r="S574" s="6">
        <f>IF(K574="No",1,0)</f>
        <v/>
      </c>
      <c r="T574" s="6">
        <f>ROUND((IF(L574="",'Subscriptions'!$T$2,L574)-J574)/30.44,1)</f>
        <v/>
      </c>
      <c r="U574" s="6">
        <f>IF(AND(P574&lt;'Subscriptions'!$T$4,O574&lt;='Subscriptions'!$T$5),1,0)</f>
        <v/>
      </c>
    </row>
    <row r="575">
      <c r="A575" s="6" t="inlineStr">
        <is>
          <t>CUST-0574</t>
        </is>
      </c>
      <c r="B575" s="6" t="inlineStr">
        <is>
          <t>Enterprise</t>
        </is>
      </c>
      <c r="C575" s="6" t="inlineStr">
        <is>
          <t>Monthly</t>
        </is>
      </c>
      <c r="D575" s="6" t="inlineStr">
        <is>
          <t>Education</t>
        </is>
      </c>
      <c r="E575" s="6" t="inlineStr">
        <is>
          <t>51-200</t>
        </is>
      </c>
      <c r="F575" s="6" t="n">
        <v>78</v>
      </c>
      <c r="G575" s="6" t="n">
        <v>6262.45</v>
      </c>
      <c r="H575" s="6" t="inlineStr">
        <is>
          <t>Paid Ads</t>
        </is>
      </c>
      <c r="I575" s="6" t="inlineStr">
        <is>
          <t>North America</t>
        </is>
      </c>
      <c r="J575" s="7" t="n">
        <v>45204</v>
      </c>
      <c r="K575" s="6" t="inlineStr">
        <is>
          <t>No</t>
        </is>
      </c>
      <c r="L575" s="7" t="n"/>
      <c r="M575" s="6" t="n"/>
      <c r="N575" s="6" t="n">
        <v>1</v>
      </c>
      <c r="O575" s="6" t="n">
        <v>9</v>
      </c>
      <c r="P575" s="6" t="n">
        <v>50</v>
      </c>
      <c r="Q575" s="6" t="inlineStr">
        <is>
          <t>Yes</t>
        </is>
      </c>
      <c r="R575" s="6">
        <f>IF(K575="Yes",1,0)</f>
        <v/>
      </c>
      <c r="S575" s="6">
        <f>IF(K575="No",1,0)</f>
        <v/>
      </c>
      <c r="T575" s="6">
        <f>ROUND((IF(L575="",'Subscriptions'!$T$2,L575)-J575)/30.44,1)</f>
        <v/>
      </c>
      <c r="U575" s="6">
        <f>IF(AND(P575&lt;'Subscriptions'!$T$4,O575&lt;='Subscriptions'!$T$5),1,0)</f>
        <v/>
      </c>
    </row>
    <row r="576">
      <c r="A576" s="6" t="inlineStr">
        <is>
          <t>CUST-0575</t>
        </is>
      </c>
      <c r="B576" s="6" t="inlineStr">
        <is>
          <t>Business</t>
        </is>
      </c>
      <c r="C576" s="6" t="inlineStr">
        <is>
          <t>Annual</t>
        </is>
      </c>
      <c r="D576" s="6" t="inlineStr">
        <is>
          <t>Consulting</t>
        </is>
      </c>
      <c r="E576" s="6" t="inlineStr">
        <is>
          <t>51-200</t>
        </is>
      </c>
      <c r="F576" s="6" t="n">
        <v>38</v>
      </c>
      <c r="G576" s="6" t="n">
        <v>1107.93</v>
      </c>
      <c r="H576" s="6" t="inlineStr">
        <is>
          <t>Referral</t>
        </is>
      </c>
      <c r="I576" s="6" t="inlineStr">
        <is>
          <t>North America</t>
        </is>
      </c>
      <c r="J576" s="7" t="n">
        <v>45970</v>
      </c>
      <c r="K576" s="6" t="inlineStr">
        <is>
          <t>No</t>
        </is>
      </c>
      <c r="L576" s="7" t="n"/>
      <c r="M576" s="6" t="n"/>
      <c r="N576" s="6" t="n">
        <v>11</v>
      </c>
      <c r="O576" s="6" t="n">
        <v>8</v>
      </c>
      <c r="P576" s="6" t="n">
        <v>26</v>
      </c>
      <c r="Q576" s="6" t="inlineStr">
        <is>
          <t>No</t>
        </is>
      </c>
      <c r="R576" s="6">
        <f>IF(K576="Yes",1,0)</f>
        <v/>
      </c>
      <c r="S576" s="6">
        <f>IF(K576="No",1,0)</f>
        <v/>
      </c>
      <c r="T576" s="6">
        <f>ROUND((IF(L576="",'Subscriptions'!$T$2,L576)-J576)/30.44,1)</f>
        <v/>
      </c>
      <c r="U576" s="6">
        <f>IF(AND(P576&lt;'Subscriptions'!$T$4,O576&lt;='Subscriptions'!$T$5),1,0)</f>
        <v/>
      </c>
    </row>
    <row r="577">
      <c r="A577" s="6" t="inlineStr">
        <is>
          <t>CUST-0576</t>
        </is>
      </c>
      <c r="B577" s="6" t="inlineStr">
        <is>
          <t>Starter</t>
        </is>
      </c>
      <c r="C577" s="6" t="inlineStr">
        <is>
          <t>Annual</t>
        </is>
      </c>
      <c r="D577" s="6" t="inlineStr">
        <is>
          <t>Manufacturing</t>
        </is>
      </c>
      <c r="E577" s="6" t="inlineStr">
        <is>
          <t>1-10</t>
        </is>
      </c>
      <c r="F577" s="6" t="n">
        <v>4</v>
      </c>
      <c r="G577" s="6" t="n">
        <v>35.74</v>
      </c>
      <c r="H577" s="6" t="inlineStr">
        <is>
          <t>Partner</t>
        </is>
      </c>
      <c r="I577" s="6" t="inlineStr">
        <is>
          <t>North America</t>
        </is>
      </c>
      <c r="J577" s="7" t="n">
        <v>45438</v>
      </c>
      <c r="K577" s="6" t="inlineStr">
        <is>
          <t>Yes</t>
        </is>
      </c>
      <c r="L577" s="7" t="n">
        <v>45457</v>
      </c>
      <c r="M577" s="6" t="inlineStr">
        <is>
          <t>Price Too High</t>
        </is>
      </c>
      <c r="N577" s="6" t="n">
        <v>1</v>
      </c>
      <c r="O577" s="6" t="n">
        <v>5</v>
      </c>
      <c r="P577" s="6" t="n">
        <v>35</v>
      </c>
      <c r="Q577" s="6" t="inlineStr">
        <is>
          <t>No</t>
        </is>
      </c>
      <c r="R577" s="6">
        <f>IF(K577="Yes",1,0)</f>
        <v/>
      </c>
      <c r="S577" s="6">
        <f>IF(K577="No",1,0)</f>
        <v/>
      </c>
      <c r="T577" s="6">
        <f>ROUND((IF(L577="",'Subscriptions'!$T$2,L577)-J577)/30.44,1)</f>
        <v/>
      </c>
      <c r="U577" s="6">
        <f>IF(AND(P577&lt;'Subscriptions'!$T$4,O577&lt;='Subscriptions'!$T$5),1,0)</f>
        <v/>
      </c>
    </row>
    <row r="578">
      <c r="A578" s="6" t="inlineStr">
        <is>
          <t>CUST-0577</t>
        </is>
      </c>
      <c r="B578" s="6" t="inlineStr">
        <is>
          <t>Starter</t>
        </is>
      </c>
      <c r="C578" s="6" t="inlineStr">
        <is>
          <t>Annual</t>
        </is>
      </c>
      <c r="D578" s="6" t="inlineStr">
        <is>
          <t>Finance</t>
        </is>
      </c>
      <c r="E578" s="6" t="inlineStr">
        <is>
          <t>201-500</t>
        </is>
      </c>
      <c r="F578" s="6" t="n">
        <v>123</v>
      </c>
      <c r="G578" s="6" t="n">
        <v>475.74</v>
      </c>
      <c r="H578" s="6" t="inlineStr">
        <is>
          <t>Paid Ads</t>
        </is>
      </c>
      <c r="I578" s="6" t="inlineStr">
        <is>
          <t>North America</t>
        </is>
      </c>
      <c r="J578" s="7" t="n">
        <v>44791</v>
      </c>
      <c r="K578" s="6" t="inlineStr">
        <is>
          <t>Yes</t>
        </is>
      </c>
      <c r="L578" s="7" t="n">
        <v>45168</v>
      </c>
      <c r="M578" s="6" t="inlineStr">
        <is>
          <t>Price Too High</t>
        </is>
      </c>
      <c r="N578" s="6" t="n">
        <v>5</v>
      </c>
      <c r="O578" s="6" t="n">
        <v>3</v>
      </c>
      <c r="P578" s="6" t="n">
        <v>22</v>
      </c>
      <c r="Q578" s="6" t="inlineStr">
        <is>
          <t>No</t>
        </is>
      </c>
      <c r="R578" s="6">
        <f>IF(K578="Yes",1,0)</f>
        <v/>
      </c>
      <c r="S578" s="6">
        <f>IF(K578="No",1,0)</f>
        <v/>
      </c>
      <c r="T578" s="6">
        <f>ROUND((IF(L578="",'Subscriptions'!$T$2,L578)-J578)/30.44,1)</f>
        <v/>
      </c>
      <c r="U578" s="6">
        <f>IF(AND(P578&lt;'Subscriptions'!$T$4,O578&lt;='Subscriptions'!$T$5),1,0)</f>
        <v/>
      </c>
    </row>
    <row r="579">
      <c r="A579" s="6" t="inlineStr">
        <is>
          <t>CUST-0578</t>
        </is>
      </c>
      <c r="B579" s="6" t="inlineStr">
        <is>
          <t>Professional</t>
        </is>
      </c>
      <c r="C579" s="6" t="inlineStr">
        <is>
          <t>Monthly</t>
        </is>
      </c>
      <c r="D579" s="6" t="inlineStr">
        <is>
          <t>Education</t>
        </is>
      </c>
      <c r="E579" s="6" t="inlineStr">
        <is>
          <t>500+</t>
        </is>
      </c>
      <c r="F579" s="6" t="n">
        <v>74</v>
      </c>
      <c r="G579" s="6" t="n">
        <v>944.05</v>
      </c>
      <c r="H579" s="6" t="inlineStr">
        <is>
          <t>Organic Search</t>
        </is>
      </c>
      <c r="I579" s="6" t="inlineStr">
        <is>
          <t>North America</t>
        </is>
      </c>
      <c r="J579" s="7" t="n">
        <v>45359</v>
      </c>
      <c r="K579" s="6" t="inlineStr">
        <is>
          <t>Yes</t>
        </is>
      </c>
      <c r="L579" s="7" t="n">
        <v>45956</v>
      </c>
      <c r="M579" s="6" t="inlineStr">
        <is>
          <t>Missing Features</t>
        </is>
      </c>
      <c r="N579" s="6" t="n">
        <v>9</v>
      </c>
      <c r="O579" s="6" t="n">
        <v>3</v>
      </c>
      <c r="P579" s="6" t="n">
        <v>38</v>
      </c>
      <c r="Q579" s="6" t="inlineStr">
        <is>
          <t>No</t>
        </is>
      </c>
      <c r="R579" s="6">
        <f>IF(K579="Yes",1,0)</f>
        <v/>
      </c>
      <c r="S579" s="6">
        <f>IF(K579="No",1,0)</f>
        <v/>
      </c>
      <c r="T579" s="6">
        <f>ROUND((IF(L579="",'Subscriptions'!$T$2,L579)-J579)/30.44,1)</f>
        <v/>
      </c>
      <c r="U579" s="6">
        <f>IF(AND(P579&lt;'Subscriptions'!$T$4,O579&lt;='Subscriptions'!$T$5),1,0)</f>
        <v/>
      </c>
    </row>
    <row r="580">
      <c r="A580" s="6" t="inlineStr">
        <is>
          <t>CUST-0579</t>
        </is>
      </c>
      <c r="B580" s="6" t="inlineStr">
        <is>
          <t>Professional</t>
        </is>
      </c>
      <c r="C580" s="6" t="inlineStr">
        <is>
          <t>Monthly</t>
        </is>
      </c>
      <c r="D580" s="6" t="inlineStr">
        <is>
          <t>Finance</t>
        </is>
      </c>
      <c r="E580" s="6" t="inlineStr">
        <is>
          <t>11-50</t>
        </is>
      </c>
      <c r="F580" s="6" t="n">
        <v>9</v>
      </c>
      <c r="G580" s="6" t="n">
        <v>173.8</v>
      </c>
      <c r="H580" s="6" t="inlineStr">
        <is>
          <t>Direct Sales</t>
        </is>
      </c>
      <c r="I580" s="6" t="inlineStr">
        <is>
          <t>North America</t>
        </is>
      </c>
      <c r="J580" s="7" t="n">
        <v>45922</v>
      </c>
      <c r="K580" s="6" t="inlineStr">
        <is>
          <t>No</t>
        </is>
      </c>
      <c r="L580" s="7" t="n"/>
      <c r="M580" s="6" t="n"/>
      <c r="N580" s="6" t="n">
        <v>8</v>
      </c>
      <c r="O580" s="6" t="n">
        <v>8</v>
      </c>
      <c r="P580" s="6" t="n">
        <v>74</v>
      </c>
      <c r="Q580" s="6" t="inlineStr">
        <is>
          <t>No</t>
        </is>
      </c>
      <c r="R580" s="6">
        <f>IF(K580="Yes",1,0)</f>
        <v/>
      </c>
      <c r="S580" s="6">
        <f>IF(K580="No",1,0)</f>
        <v/>
      </c>
      <c r="T580" s="6">
        <f>ROUND((IF(L580="",'Subscriptions'!$T$2,L580)-J580)/30.44,1)</f>
        <v/>
      </c>
      <c r="U580" s="6">
        <f>IF(AND(P580&lt;'Subscriptions'!$T$4,O580&lt;='Subscriptions'!$T$5),1,0)</f>
        <v/>
      </c>
    </row>
    <row r="581">
      <c r="A581" s="6" t="inlineStr">
        <is>
          <t>CUST-0580</t>
        </is>
      </c>
      <c r="B581" s="6" t="inlineStr">
        <is>
          <t>Professional</t>
        </is>
      </c>
      <c r="C581" s="6" t="inlineStr">
        <is>
          <t>Monthly</t>
        </is>
      </c>
      <c r="D581" s="6" t="inlineStr">
        <is>
          <t>Education</t>
        </is>
      </c>
      <c r="E581" s="6" t="inlineStr">
        <is>
          <t>201-500</t>
        </is>
      </c>
      <c r="F581" s="6" t="n">
        <v>33</v>
      </c>
      <c r="G581" s="6" t="n">
        <v>458.2</v>
      </c>
      <c r="H581" s="6" t="inlineStr">
        <is>
          <t>Referral</t>
        </is>
      </c>
      <c r="I581" s="6" t="inlineStr">
        <is>
          <t>North America</t>
        </is>
      </c>
      <c r="J581" s="7" t="n">
        <v>45371</v>
      </c>
      <c r="K581" s="6" t="inlineStr">
        <is>
          <t>Yes</t>
        </is>
      </c>
      <c r="L581" s="7" t="n">
        <v>45565</v>
      </c>
      <c r="M581" s="6" t="inlineStr">
        <is>
          <t>Price Too High</t>
        </is>
      </c>
      <c r="N581" s="6" t="n">
        <v>13</v>
      </c>
      <c r="O581" s="6" t="n">
        <v>2</v>
      </c>
      <c r="P581" s="6" t="n">
        <v>39</v>
      </c>
      <c r="Q581" s="6" t="inlineStr">
        <is>
          <t>No</t>
        </is>
      </c>
      <c r="R581" s="6">
        <f>IF(K581="Yes",1,0)</f>
        <v/>
      </c>
      <c r="S581" s="6">
        <f>IF(K581="No",1,0)</f>
        <v/>
      </c>
      <c r="T581" s="6">
        <f>ROUND((IF(L581="",'Subscriptions'!$T$2,L581)-J581)/30.44,1)</f>
        <v/>
      </c>
      <c r="U581" s="6">
        <f>IF(AND(P581&lt;'Subscriptions'!$T$4,O581&lt;='Subscriptions'!$T$5),1,0)</f>
        <v/>
      </c>
    </row>
    <row r="582">
      <c r="A582" s="6" t="inlineStr">
        <is>
          <t>CUST-0581</t>
        </is>
      </c>
      <c r="B582" s="6" t="inlineStr">
        <is>
          <t>Business</t>
        </is>
      </c>
      <c r="C582" s="6" t="inlineStr">
        <is>
          <t>Monthly</t>
        </is>
      </c>
      <c r="D582" s="6" t="inlineStr">
        <is>
          <t>Technology</t>
        </is>
      </c>
      <c r="E582" s="6" t="inlineStr">
        <is>
          <t>201-500</t>
        </is>
      </c>
      <c r="F582" s="6" t="n">
        <v>105</v>
      </c>
      <c r="G582" s="6" t="n">
        <v>3303.4</v>
      </c>
      <c r="H582" s="6" t="inlineStr">
        <is>
          <t>Direct Sales</t>
        </is>
      </c>
      <c r="I582" s="6" t="inlineStr">
        <is>
          <t>Asia Pacific</t>
        </is>
      </c>
      <c r="J582" s="7" t="n">
        <v>45606</v>
      </c>
      <c r="K582" s="6" t="inlineStr">
        <is>
          <t>No</t>
        </is>
      </c>
      <c r="L582" s="7" t="n"/>
      <c r="M582" s="6" t="n"/>
      <c r="N582" s="6" t="n">
        <v>0</v>
      </c>
      <c r="O582" s="6" t="n">
        <v>8</v>
      </c>
      <c r="P582" s="6" t="n">
        <v>75</v>
      </c>
      <c r="Q582" s="6" t="inlineStr">
        <is>
          <t>Yes</t>
        </is>
      </c>
      <c r="R582" s="6">
        <f>IF(K582="Yes",1,0)</f>
        <v/>
      </c>
      <c r="S582" s="6">
        <f>IF(K582="No",1,0)</f>
        <v/>
      </c>
      <c r="T582" s="6">
        <f>ROUND((IF(L582="",'Subscriptions'!$T$2,L582)-J582)/30.44,1)</f>
        <v/>
      </c>
      <c r="U582" s="6">
        <f>IF(AND(P582&lt;'Subscriptions'!$T$4,O582&lt;='Subscriptions'!$T$5),1,0)</f>
        <v/>
      </c>
    </row>
    <row r="583">
      <c r="A583" s="6" t="inlineStr">
        <is>
          <t>CUST-0582</t>
        </is>
      </c>
      <c r="B583" s="6" t="inlineStr">
        <is>
          <t>Professional</t>
        </is>
      </c>
      <c r="C583" s="6" t="inlineStr">
        <is>
          <t>Monthly</t>
        </is>
      </c>
      <c r="D583" s="6" t="inlineStr">
        <is>
          <t>Consulting</t>
        </is>
      </c>
      <c r="E583" s="6" t="inlineStr">
        <is>
          <t>11-50</t>
        </is>
      </c>
      <c r="F583" s="6" t="n">
        <v>35</v>
      </c>
      <c r="G583" s="6" t="n">
        <v>481.9</v>
      </c>
      <c r="H583" s="6" t="inlineStr">
        <is>
          <t>Partner</t>
        </is>
      </c>
      <c r="I583" s="6" t="inlineStr">
        <is>
          <t>North America</t>
        </is>
      </c>
      <c r="J583" s="7" t="n">
        <v>45249</v>
      </c>
      <c r="K583" s="6" t="inlineStr">
        <is>
          <t>Yes</t>
        </is>
      </c>
      <c r="L583" s="7" t="n">
        <v>45854</v>
      </c>
      <c r="M583" s="6" t="inlineStr">
        <is>
          <t>Poor Support</t>
        </is>
      </c>
      <c r="N583" s="6" t="n">
        <v>0</v>
      </c>
      <c r="O583" s="6" t="n">
        <v>2</v>
      </c>
      <c r="P583" s="6" t="n">
        <v>32</v>
      </c>
      <c r="Q583" s="6" t="inlineStr">
        <is>
          <t>No</t>
        </is>
      </c>
      <c r="R583" s="6">
        <f>IF(K583="Yes",1,0)</f>
        <v/>
      </c>
      <c r="S583" s="6">
        <f>IF(K583="No",1,0)</f>
        <v/>
      </c>
      <c r="T583" s="6">
        <f>ROUND((IF(L583="",'Subscriptions'!$T$2,L583)-J583)/30.44,1)</f>
        <v/>
      </c>
      <c r="U583" s="6">
        <f>IF(AND(P583&lt;'Subscriptions'!$T$4,O583&lt;='Subscriptions'!$T$5),1,0)</f>
        <v/>
      </c>
    </row>
    <row r="584">
      <c r="A584" s="6" t="inlineStr">
        <is>
          <t>CUST-0583</t>
        </is>
      </c>
      <c r="B584" s="6" t="inlineStr">
        <is>
          <t>Professional</t>
        </is>
      </c>
      <c r="C584" s="6" t="inlineStr">
        <is>
          <t>Monthly</t>
        </is>
      </c>
      <c r="D584" s="6" t="inlineStr">
        <is>
          <t>Finance</t>
        </is>
      </c>
      <c r="E584" s="6" t="inlineStr">
        <is>
          <t>1-10</t>
        </is>
      </c>
      <c r="F584" s="6" t="n">
        <v>4</v>
      </c>
      <c r="G584" s="6" t="n">
        <v>114.55</v>
      </c>
      <c r="H584" s="6" t="inlineStr">
        <is>
          <t>Social Media</t>
        </is>
      </c>
      <c r="I584" s="6" t="inlineStr">
        <is>
          <t>North America</t>
        </is>
      </c>
      <c r="J584" s="7" t="n">
        <v>45825</v>
      </c>
      <c r="K584" s="6" t="inlineStr">
        <is>
          <t>Yes</t>
        </is>
      </c>
      <c r="L584" s="7" t="n">
        <v>45827</v>
      </c>
      <c r="M584" s="6" t="inlineStr">
        <is>
          <t>Price Too High</t>
        </is>
      </c>
      <c r="N584" s="6" t="n">
        <v>3</v>
      </c>
      <c r="O584" s="6" t="n">
        <v>5</v>
      </c>
      <c r="P584" s="6" t="n">
        <v>50</v>
      </c>
      <c r="Q584" s="6" t="inlineStr">
        <is>
          <t>No</t>
        </is>
      </c>
      <c r="R584" s="6">
        <f>IF(K584="Yes",1,0)</f>
        <v/>
      </c>
      <c r="S584" s="6">
        <f>IF(K584="No",1,0)</f>
        <v/>
      </c>
      <c r="T584" s="6">
        <f>ROUND((IF(L584="",'Subscriptions'!$T$2,L584)-J584)/30.44,1)</f>
        <v/>
      </c>
      <c r="U584" s="6">
        <f>IF(AND(P584&lt;'Subscriptions'!$T$4,O584&lt;='Subscriptions'!$T$5),1,0)</f>
        <v/>
      </c>
    </row>
    <row r="585">
      <c r="A585" s="6" t="inlineStr">
        <is>
          <t>CUST-0584</t>
        </is>
      </c>
      <c r="B585" s="6" t="inlineStr">
        <is>
          <t>Business</t>
        </is>
      </c>
      <c r="C585" s="6" t="inlineStr">
        <is>
          <t>Monthly</t>
        </is>
      </c>
      <c r="D585" s="6" t="inlineStr">
        <is>
          <t>Media</t>
        </is>
      </c>
      <c r="E585" s="6" t="inlineStr">
        <is>
          <t>11-50</t>
        </is>
      </c>
      <c r="F585" s="6" t="n">
        <v>18</v>
      </c>
      <c r="G585" s="6" t="n">
        <v>706.45</v>
      </c>
      <c r="H585" s="6" t="inlineStr">
        <is>
          <t>Organic Search</t>
        </is>
      </c>
      <c r="I585" s="6" t="inlineStr">
        <is>
          <t>North America</t>
        </is>
      </c>
      <c r="J585" s="7" t="n">
        <v>45956</v>
      </c>
      <c r="K585" s="6" t="inlineStr">
        <is>
          <t>No</t>
        </is>
      </c>
      <c r="L585" s="7" t="n"/>
      <c r="M585" s="6" t="n"/>
      <c r="N585" s="6" t="n">
        <v>0</v>
      </c>
      <c r="O585" s="6" t="n">
        <v>1</v>
      </c>
      <c r="P585" s="6" t="n">
        <v>37</v>
      </c>
      <c r="Q585" s="6" t="inlineStr">
        <is>
          <t>No</t>
        </is>
      </c>
      <c r="R585" s="6">
        <f>IF(K585="Yes",1,0)</f>
        <v/>
      </c>
      <c r="S585" s="6">
        <f>IF(K585="No",1,0)</f>
        <v/>
      </c>
      <c r="T585" s="6">
        <f>ROUND((IF(L585="",'Subscriptions'!$T$2,L585)-J585)/30.44,1)</f>
        <v/>
      </c>
      <c r="U585" s="6">
        <f>IF(AND(P585&lt;'Subscriptions'!$T$4,O585&lt;='Subscriptions'!$T$5),1,0)</f>
        <v/>
      </c>
    </row>
    <row r="586">
      <c r="A586" s="6" t="inlineStr">
        <is>
          <t>CUST-0585</t>
        </is>
      </c>
      <c r="B586" s="6" t="inlineStr">
        <is>
          <t>Business</t>
        </is>
      </c>
      <c r="C586" s="6" t="inlineStr">
        <is>
          <t>Monthly</t>
        </is>
      </c>
      <c r="D586" s="6" t="inlineStr">
        <is>
          <t>Technology</t>
        </is>
      </c>
      <c r="E586" s="6" t="inlineStr">
        <is>
          <t>11-50</t>
        </is>
      </c>
      <c r="F586" s="6" t="n">
        <v>5</v>
      </c>
      <c r="G586" s="6" t="n">
        <v>318.4</v>
      </c>
      <c r="H586" s="6" t="inlineStr">
        <is>
          <t>Direct Sales</t>
        </is>
      </c>
      <c r="I586" s="6" t="inlineStr">
        <is>
          <t>North America</t>
        </is>
      </c>
      <c r="J586" s="7" t="n">
        <v>45246</v>
      </c>
      <c r="K586" s="6" t="inlineStr">
        <is>
          <t>No</t>
        </is>
      </c>
      <c r="L586" s="7" t="n"/>
      <c r="M586" s="6" t="n"/>
      <c r="N586" s="6" t="n">
        <v>0</v>
      </c>
      <c r="O586" s="6" t="n">
        <v>4</v>
      </c>
      <c r="P586" s="6" t="n">
        <v>77</v>
      </c>
      <c r="Q586" s="6" t="inlineStr">
        <is>
          <t>Yes</t>
        </is>
      </c>
      <c r="R586" s="6">
        <f>IF(K586="Yes",1,0)</f>
        <v/>
      </c>
      <c r="S586" s="6">
        <f>IF(K586="No",1,0)</f>
        <v/>
      </c>
      <c r="T586" s="6">
        <f>ROUND((IF(L586="",'Subscriptions'!$T$2,L586)-J586)/30.44,1)</f>
        <v/>
      </c>
      <c r="U586" s="6">
        <f>IF(AND(P586&lt;'Subscriptions'!$T$4,O586&lt;='Subscriptions'!$T$5),1,0)</f>
        <v/>
      </c>
    </row>
    <row r="587">
      <c r="A587" s="6" t="inlineStr">
        <is>
          <t>CUST-0586</t>
        </is>
      </c>
      <c r="B587" s="6" t="inlineStr">
        <is>
          <t>Starter</t>
        </is>
      </c>
      <c r="C587" s="6" t="inlineStr">
        <is>
          <t>Monthly</t>
        </is>
      </c>
      <c r="D587" s="6" t="inlineStr">
        <is>
          <t>Healthcare</t>
        </is>
      </c>
      <c r="E587" s="6" t="inlineStr">
        <is>
          <t>201-500</t>
        </is>
      </c>
      <c r="F587" s="6" t="n">
        <v>116</v>
      </c>
      <c r="G587" s="6" t="n">
        <v>529.25</v>
      </c>
      <c r="H587" s="6" t="inlineStr">
        <is>
          <t>Paid Ads</t>
        </is>
      </c>
      <c r="I587" s="6" t="inlineStr">
        <is>
          <t>North America</t>
        </is>
      </c>
      <c r="J587" s="7" t="n">
        <v>45941</v>
      </c>
      <c r="K587" s="6" t="inlineStr">
        <is>
          <t>No</t>
        </is>
      </c>
      <c r="L587" s="7" t="n"/>
      <c r="M587" s="6" t="n"/>
      <c r="N587" s="6" t="n">
        <v>6</v>
      </c>
      <c r="O587" s="6" t="n">
        <v>3</v>
      </c>
      <c r="P587" s="6" t="n">
        <v>68</v>
      </c>
      <c r="Q587" s="6" t="inlineStr">
        <is>
          <t>No</t>
        </is>
      </c>
      <c r="R587" s="6">
        <f>IF(K587="Yes",1,0)</f>
        <v/>
      </c>
      <c r="S587" s="6">
        <f>IF(K587="No",1,0)</f>
        <v/>
      </c>
      <c r="T587" s="6">
        <f>ROUND((IF(L587="",'Subscriptions'!$T$2,L587)-J587)/30.44,1)</f>
        <v/>
      </c>
      <c r="U587" s="6">
        <f>IF(AND(P587&lt;'Subscriptions'!$T$4,O587&lt;='Subscriptions'!$T$5),1,0)</f>
        <v/>
      </c>
    </row>
    <row r="588">
      <c r="A588" s="6" t="inlineStr">
        <is>
          <t>CUST-0587</t>
        </is>
      </c>
      <c r="B588" s="6" t="inlineStr">
        <is>
          <t>Business</t>
        </is>
      </c>
      <c r="C588" s="6" t="inlineStr">
        <is>
          <t>Monthly</t>
        </is>
      </c>
      <c r="D588" s="6" t="inlineStr">
        <is>
          <t>Technology</t>
        </is>
      </c>
      <c r="E588" s="6" t="inlineStr">
        <is>
          <t>1-10</t>
        </is>
      </c>
      <c r="F588" s="6" t="n">
        <v>1</v>
      </c>
      <c r="G588" s="6" t="n">
        <v>199</v>
      </c>
      <c r="H588" s="6" t="inlineStr">
        <is>
          <t>Referral</t>
        </is>
      </c>
      <c r="I588" s="6" t="inlineStr">
        <is>
          <t>Latin America</t>
        </is>
      </c>
      <c r="J588" s="7" t="n">
        <v>44808</v>
      </c>
      <c r="K588" s="6" t="inlineStr">
        <is>
          <t>No</t>
        </is>
      </c>
      <c r="L588" s="7" t="n"/>
      <c r="M588" s="6" t="n"/>
      <c r="N588" s="6" t="n">
        <v>2</v>
      </c>
      <c r="O588" s="6" t="n">
        <v>6</v>
      </c>
      <c r="P588" s="6" t="n">
        <v>84</v>
      </c>
      <c r="Q588" s="6" t="inlineStr">
        <is>
          <t>Yes</t>
        </is>
      </c>
      <c r="R588" s="6">
        <f>IF(K588="Yes",1,0)</f>
        <v/>
      </c>
      <c r="S588" s="6">
        <f>IF(K588="No",1,0)</f>
        <v/>
      </c>
      <c r="T588" s="6">
        <f>ROUND((IF(L588="",'Subscriptions'!$T$2,L588)-J588)/30.44,1)</f>
        <v/>
      </c>
      <c r="U588" s="6">
        <f>IF(AND(P588&lt;'Subscriptions'!$T$4,O588&lt;='Subscriptions'!$T$5),1,0)</f>
        <v/>
      </c>
    </row>
    <row r="589">
      <c r="A589" s="6" t="inlineStr">
        <is>
          <t>CUST-0588</t>
        </is>
      </c>
      <c r="B589" s="6" t="inlineStr">
        <is>
          <t>Business</t>
        </is>
      </c>
      <c r="C589" s="6" t="inlineStr">
        <is>
          <t>Monthly</t>
        </is>
      </c>
      <c r="D589" s="6" t="inlineStr">
        <is>
          <t>Retail</t>
        </is>
      </c>
      <c r="E589" s="6" t="inlineStr">
        <is>
          <t>11-50</t>
        </is>
      </c>
      <c r="F589" s="6" t="n">
        <v>33</v>
      </c>
      <c r="G589" s="6" t="n">
        <v>1154.2</v>
      </c>
      <c r="H589" s="6" t="inlineStr">
        <is>
          <t>Organic Search</t>
        </is>
      </c>
      <c r="I589" s="6" t="inlineStr">
        <is>
          <t>Latin America</t>
        </is>
      </c>
      <c r="J589" s="7" t="n">
        <v>44943</v>
      </c>
      <c r="K589" s="6" t="inlineStr">
        <is>
          <t>Yes</t>
        </is>
      </c>
      <c r="L589" s="7" t="n">
        <v>45857</v>
      </c>
      <c r="M589" s="6" t="inlineStr">
        <is>
          <t>Switched Competitor</t>
        </is>
      </c>
      <c r="N589" s="6" t="n">
        <v>1</v>
      </c>
      <c r="O589" s="6" t="n">
        <v>3</v>
      </c>
      <c r="P589" s="6" t="n">
        <v>37</v>
      </c>
      <c r="Q589" s="6" t="inlineStr">
        <is>
          <t>No</t>
        </is>
      </c>
      <c r="R589" s="6">
        <f>IF(K589="Yes",1,0)</f>
        <v/>
      </c>
      <c r="S589" s="6">
        <f>IF(K589="No",1,0)</f>
        <v/>
      </c>
      <c r="T589" s="6">
        <f>ROUND((IF(L589="",'Subscriptions'!$T$2,L589)-J589)/30.44,1)</f>
        <v/>
      </c>
      <c r="U589" s="6">
        <f>IF(AND(P589&lt;'Subscriptions'!$T$4,O589&lt;='Subscriptions'!$T$5),1,0)</f>
        <v/>
      </c>
    </row>
    <row r="590">
      <c r="A590" s="6" t="inlineStr">
        <is>
          <t>CUST-0589</t>
        </is>
      </c>
      <c r="B590" s="6" t="inlineStr">
        <is>
          <t>Starter</t>
        </is>
      </c>
      <c r="C590" s="6" t="inlineStr">
        <is>
          <t>Annual</t>
        </is>
      </c>
      <c r="D590" s="6" t="inlineStr">
        <is>
          <t>Healthcare</t>
        </is>
      </c>
      <c r="E590" s="6" t="inlineStr">
        <is>
          <t>1-10</t>
        </is>
      </c>
      <c r="F590" s="6" t="n">
        <v>7</v>
      </c>
      <c r="G590" s="6" t="n">
        <v>46.83</v>
      </c>
      <c r="H590" s="6" t="inlineStr">
        <is>
          <t>Referral</t>
        </is>
      </c>
      <c r="I590" s="6" t="inlineStr">
        <is>
          <t>Latin America</t>
        </is>
      </c>
      <c r="J590" s="7" t="n">
        <v>45251</v>
      </c>
      <c r="K590" s="6" t="inlineStr">
        <is>
          <t>Yes</t>
        </is>
      </c>
      <c r="L590" s="7" t="n">
        <v>45481</v>
      </c>
      <c r="M590" s="6" t="inlineStr">
        <is>
          <t>Budget Cuts</t>
        </is>
      </c>
      <c r="N590" s="6" t="n">
        <v>11</v>
      </c>
      <c r="O590" s="6" t="n">
        <v>1</v>
      </c>
      <c r="P590" s="6" t="n">
        <v>18</v>
      </c>
      <c r="Q590" s="6" t="inlineStr">
        <is>
          <t>No</t>
        </is>
      </c>
      <c r="R590" s="6">
        <f>IF(K590="Yes",1,0)</f>
        <v/>
      </c>
      <c r="S590" s="6">
        <f>IF(K590="No",1,0)</f>
        <v/>
      </c>
      <c r="T590" s="6">
        <f>ROUND((IF(L590="",'Subscriptions'!$T$2,L590)-J590)/30.44,1)</f>
        <v/>
      </c>
      <c r="U590" s="6">
        <f>IF(AND(P590&lt;'Subscriptions'!$T$4,O590&lt;='Subscriptions'!$T$5),1,0)</f>
        <v/>
      </c>
    </row>
    <row r="591">
      <c r="A591" s="6" t="inlineStr">
        <is>
          <t>CUST-0590</t>
        </is>
      </c>
      <c r="B591" s="6" t="inlineStr">
        <is>
          <t>Starter</t>
        </is>
      </c>
      <c r="C591" s="6" t="inlineStr">
        <is>
          <t>Monthly</t>
        </is>
      </c>
      <c r="D591" s="6" t="inlineStr">
        <is>
          <t>Consulting</t>
        </is>
      </c>
      <c r="E591" s="6" t="inlineStr">
        <is>
          <t>11-50</t>
        </is>
      </c>
      <c r="F591" s="6" t="n">
        <v>21</v>
      </c>
      <c r="G591" s="6" t="n">
        <v>116</v>
      </c>
      <c r="H591" s="6" t="inlineStr">
        <is>
          <t>Organic Search</t>
        </is>
      </c>
      <c r="I591" s="6" t="inlineStr">
        <is>
          <t>Latin America</t>
        </is>
      </c>
      <c r="J591" s="7" t="n">
        <v>45189</v>
      </c>
      <c r="K591" s="6" t="inlineStr">
        <is>
          <t>Yes</t>
        </is>
      </c>
      <c r="L591" s="7" t="n">
        <v>45251</v>
      </c>
      <c r="M591" s="6" t="inlineStr">
        <is>
          <t>No Longer Needed</t>
        </is>
      </c>
      <c r="N591" s="6" t="n">
        <v>11</v>
      </c>
      <c r="O591" s="6" t="n">
        <v>3</v>
      </c>
      <c r="P591" s="6" t="n">
        <v>16</v>
      </c>
      <c r="Q591" s="6" t="inlineStr">
        <is>
          <t>No</t>
        </is>
      </c>
      <c r="R591" s="6">
        <f>IF(K591="Yes",1,0)</f>
        <v/>
      </c>
      <c r="S591" s="6">
        <f>IF(K591="No",1,0)</f>
        <v/>
      </c>
      <c r="T591" s="6">
        <f>ROUND((IF(L591="",'Subscriptions'!$T$2,L591)-J591)/30.44,1)</f>
        <v/>
      </c>
      <c r="U591" s="6">
        <f>IF(AND(P591&lt;'Subscriptions'!$T$4,O591&lt;='Subscriptions'!$T$5),1,0)</f>
        <v/>
      </c>
    </row>
    <row r="592">
      <c r="A592" s="6" t="inlineStr">
        <is>
          <t>CUST-0591</t>
        </is>
      </c>
      <c r="B592" s="6" t="inlineStr">
        <is>
          <t>Business</t>
        </is>
      </c>
      <c r="C592" s="6" t="inlineStr">
        <is>
          <t>Monthly</t>
        </is>
      </c>
      <c r="D592" s="6" t="inlineStr">
        <is>
          <t>Technology</t>
        </is>
      </c>
      <c r="E592" s="6" t="inlineStr">
        <is>
          <t>11-50</t>
        </is>
      </c>
      <c r="F592" s="6" t="n">
        <v>6</v>
      </c>
      <c r="G592" s="6" t="n">
        <v>348.25</v>
      </c>
      <c r="H592" s="6" t="inlineStr">
        <is>
          <t>Organic Search</t>
        </is>
      </c>
      <c r="I592" s="6" t="inlineStr">
        <is>
          <t>North America</t>
        </is>
      </c>
      <c r="J592" s="7" t="n">
        <v>45252</v>
      </c>
      <c r="K592" s="6" t="inlineStr">
        <is>
          <t>No</t>
        </is>
      </c>
      <c r="L592" s="7" t="n"/>
      <c r="M592" s="6" t="n"/>
      <c r="N592" s="6" t="n">
        <v>1</v>
      </c>
      <c r="O592" s="6" t="n">
        <v>2</v>
      </c>
      <c r="P592" s="6" t="n">
        <v>27</v>
      </c>
      <c r="Q592" s="6" t="inlineStr">
        <is>
          <t>Yes</t>
        </is>
      </c>
      <c r="R592" s="6">
        <f>IF(K592="Yes",1,0)</f>
        <v/>
      </c>
      <c r="S592" s="6">
        <f>IF(K592="No",1,0)</f>
        <v/>
      </c>
      <c r="T592" s="6">
        <f>ROUND((IF(L592="",'Subscriptions'!$T$2,L592)-J592)/30.44,1)</f>
        <v/>
      </c>
      <c r="U592" s="6">
        <f>IF(AND(P592&lt;'Subscriptions'!$T$4,O592&lt;='Subscriptions'!$T$5),1,0)</f>
        <v/>
      </c>
    </row>
    <row r="593">
      <c r="A593" s="6" t="inlineStr">
        <is>
          <t>CUST-0592</t>
        </is>
      </c>
      <c r="B593" s="6" t="inlineStr">
        <is>
          <t>Professional</t>
        </is>
      </c>
      <c r="C593" s="6" t="inlineStr">
        <is>
          <t>Monthly</t>
        </is>
      </c>
      <c r="D593" s="6" t="inlineStr">
        <is>
          <t>Media</t>
        </is>
      </c>
      <c r="E593" s="6" t="inlineStr">
        <is>
          <t>11-50</t>
        </is>
      </c>
      <c r="F593" s="6" t="n">
        <v>6</v>
      </c>
      <c r="G593" s="6" t="n">
        <v>138.25</v>
      </c>
      <c r="H593" s="6" t="inlineStr">
        <is>
          <t>Partner</t>
        </is>
      </c>
      <c r="I593" s="6" t="inlineStr">
        <is>
          <t>Europe</t>
        </is>
      </c>
      <c r="J593" s="7" t="n">
        <v>44836</v>
      </c>
      <c r="K593" s="6" t="inlineStr">
        <is>
          <t>Yes</t>
        </is>
      </c>
      <c r="L593" s="7" t="n">
        <v>45335</v>
      </c>
      <c r="M593" s="6" t="inlineStr">
        <is>
          <t>Poor Support</t>
        </is>
      </c>
      <c r="N593" s="6" t="n">
        <v>5</v>
      </c>
      <c r="O593" s="6" t="n">
        <v>3</v>
      </c>
      <c r="P593" s="6" t="n">
        <v>11</v>
      </c>
      <c r="Q593" s="6" t="inlineStr">
        <is>
          <t>No</t>
        </is>
      </c>
      <c r="R593" s="6">
        <f>IF(K593="Yes",1,0)</f>
        <v/>
      </c>
      <c r="S593" s="6">
        <f>IF(K593="No",1,0)</f>
        <v/>
      </c>
      <c r="T593" s="6">
        <f>ROUND((IF(L593="",'Subscriptions'!$T$2,L593)-J593)/30.44,1)</f>
        <v/>
      </c>
      <c r="U593" s="6">
        <f>IF(AND(P593&lt;'Subscriptions'!$T$4,O593&lt;='Subscriptions'!$T$5),1,0)</f>
        <v/>
      </c>
    </row>
    <row r="594">
      <c r="A594" s="6" t="inlineStr">
        <is>
          <t>CUST-0593</t>
        </is>
      </c>
      <c r="B594" s="6" t="inlineStr">
        <is>
          <t>Business</t>
        </is>
      </c>
      <c r="C594" s="6" t="inlineStr">
        <is>
          <t>Monthly</t>
        </is>
      </c>
      <c r="D594" s="6" t="inlineStr">
        <is>
          <t>Real Estate</t>
        </is>
      </c>
      <c r="E594" s="6" t="inlineStr">
        <is>
          <t>51-200</t>
        </is>
      </c>
      <c r="F594" s="6" t="n">
        <v>47</v>
      </c>
      <c r="G594" s="6" t="n">
        <v>1572.1</v>
      </c>
      <c r="H594" s="6" t="inlineStr">
        <is>
          <t>Organic Search</t>
        </is>
      </c>
      <c r="I594" s="6" t="inlineStr">
        <is>
          <t>North America</t>
        </is>
      </c>
      <c r="J594" s="7" t="n">
        <v>44964</v>
      </c>
      <c r="K594" s="6" t="inlineStr">
        <is>
          <t>No</t>
        </is>
      </c>
      <c r="L594" s="7" t="n"/>
      <c r="M594" s="6" t="n"/>
      <c r="N594" s="6" t="n">
        <v>1</v>
      </c>
      <c r="O594" s="6" t="n">
        <v>9</v>
      </c>
      <c r="P594" s="6" t="n">
        <v>27</v>
      </c>
      <c r="Q594" s="6" t="inlineStr">
        <is>
          <t>No</t>
        </is>
      </c>
      <c r="R594" s="6">
        <f>IF(K594="Yes",1,0)</f>
        <v/>
      </c>
      <c r="S594" s="6">
        <f>IF(K594="No",1,0)</f>
        <v/>
      </c>
      <c r="T594" s="6">
        <f>ROUND((IF(L594="",'Subscriptions'!$T$2,L594)-J594)/30.44,1)</f>
        <v/>
      </c>
      <c r="U594" s="6">
        <f>IF(AND(P594&lt;'Subscriptions'!$T$4,O594&lt;='Subscriptions'!$T$5),1,0)</f>
        <v/>
      </c>
    </row>
    <row r="595">
      <c r="A595" s="6" t="inlineStr">
        <is>
          <t>CUST-0594</t>
        </is>
      </c>
      <c r="B595" s="6" t="inlineStr">
        <is>
          <t>Business</t>
        </is>
      </c>
      <c r="C595" s="6" t="inlineStr">
        <is>
          <t>Annual</t>
        </is>
      </c>
      <c r="D595" s="6" t="inlineStr">
        <is>
          <t>Legal</t>
        </is>
      </c>
      <c r="E595" s="6" t="inlineStr">
        <is>
          <t>51-200</t>
        </is>
      </c>
      <c r="F595" s="6" t="n">
        <v>76</v>
      </c>
      <c r="G595" s="6" t="n">
        <v>2072.09</v>
      </c>
      <c r="H595" s="6" t="inlineStr">
        <is>
          <t>Organic Search</t>
        </is>
      </c>
      <c r="I595" s="6" t="inlineStr">
        <is>
          <t>Asia Pacific</t>
        </is>
      </c>
      <c r="J595" s="7" t="n">
        <v>44909</v>
      </c>
      <c r="K595" s="6" t="inlineStr">
        <is>
          <t>Yes</t>
        </is>
      </c>
      <c r="L595" s="7" t="n">
        <v>45026</v>
      </c>
      <c r="M595" s="6" t="inlineStr">
        <is>
          <t>Price Too High</t>
        </is>
      </c>
      <c r="N595" s="6" t="n">
        <v>4</v>
      </c>
      <c r="O595" s="6" t="n">
        <v>2</v>
      </c>
      <c r="P595" s="6" t="n">
        <v>35</v>
      </c>
      <c r="Q595" s="6" t="inlineStr">
        <is>
          <t>No</t>
        </is>
      </c>
      <c r="R595" s="6">
        <f>IF(K595="Yes",1,0)</f>
        <v/>
      </c>
      <c r="S595" s="6">
        <f>IF(K595="No",1,0)</f>
        <v/>
      </c>
      <c r="T595" s="6">
        <f>ROUND((IF(L595="",'Subscriptions'!$T$2,L595)-J595)/30.44,1)</f>
        <v/>
      </c>
      <c r="U595" s="6">
        <f>IF(AND(P595&lt;'Subscriptions'!$T$4,O595&lt;='Subscriptions'!$T$5),1,0)</f>
        <v/>
      </c>
    </row>
    <row r="596">
      <c r="A596" s="6" t="inlineStr">
        <is>
          <t>CUST-0595</t>
        </is>
      </c>
      <c r="B596" s="6" t="inlineStr">
        <is>
          <t>Business</t>
        </is>
      </c>
      <c r="C596" s="6" t="inlineStr">
        <is>
          <t>Monthly</t>
        </is>
      </c>
      <c r="D596" s="6" t="inlineStr">
        <is>
          <t>Manufacturing</t>
        </is>
      </c>
      <c r="E596" s="6" t="inlineStr">
        <is>
          <t>11-50</t>
        </is>
      </c>
      <c r="F596" s="6" t="n">
        <v>11</v>
      </c>
      <c r="G596" s="6" t="n">
        <v>497.5</v>
      </c>
      <c r="H596" s="6" t="inlineStr">
        <is>
          <t>Organic Search</t>
        </is>
      </c>
      <c r="I596" s="6" t="inlineStr">
        <is>
          <t>Europe</t>
        </is>
      </c>
      <c r="J596" s="7" t="n">
        <v>45027</v>
      </c>
      <c r="K596" s="6" t="inlineStr">
        <is>
          <t>Yes</t>
        </is>
      </c>
      <c r="L596" s="7" t="n">
        <v>45610</v>
      </c>
      <c r="M596" s="6" t="inlineStr">
        <is>
          <t>Missing Features</t>
        </is>
      </c>
      <c r="N596" s="6" t="n">
        <v>3</v>
      </c>
      <c r="O596" s="6" t="n">
        <v>3</v>
      </c>
      <c r="P596" s="6" t="n">
        <v>48</v>
      </c>
      <c r="Q596" s="6" t="inlineStr">
        <is>
          <t>No</t>
        </is>
      </c>
      <c r="R596" s="6">
        <f>IF(K596="Yes",1,0)</f>
        <v/>
      </c>
      <c r="S596" s="6">
        <f>IF(K596="No",1,0)</f>
        <v/>
      </c>
      <c r="T596" s="6">
        <f>ROUND((IF(L596="",'Subscriptions'!$T$2,L596)-J596)/30.44,1)</f>
        <v/>
      </c>
      <c r="U596" s="6">
        <f>IF(AND(P596&lt;'Subscriptions'!$T$4,O596&lt;='Subscriptions'!$T$5),1,0)</f>
        <v/>
      </c>
    </row>
    <row r="597">
      <c r="A597" s="6" t="inlineStr">
        <is>
          <t>CUST-0596</t>
        </is>
      </c>
      <c r="B597" s="6" t="inlineStr">
        <is>
          <t>Professional</t>
        </is>
      </c>
      <c r="C597" s="6" t="inlineStr">
        <is>
          <t>Annual</t>
        </is>
      </c>
      <c r="D597" s="6" t="inlineStr">
        <is>
          <t>Healthcare</t>
        </is>
      </c>
      <c r="E597" s="6" t="inlineStr">
        <is>
          <t>11-50</t>
        </is>
      </c>
      <c r="F597" s="6" t="n">
        <v>32</v>
      </c>
      <c r="G597" s="6" t="n">
        <v>379.4</v>
      </c>
      <c r="H597" s="6" t="inlineStr">
        <is>
          <t>Referral</t>
        </is>
      </c>
      <c r="I597" s="6" t="inlineStr">
        <is>
          <t>North America</t>
        </is>
      </c>
      <c r="J597" s="7" t="n">
        <v>45631</v>
      </c>
      <c r="K597" s="6" t="inlineStr">
        <is>
          <t>No</t>
        </is>
      </c>
      <c r="L597" s="7" t="n"/>
      <c r="M597" s="6" t="n"/>
      <c r="N597" s="6" t="n">
        <v>3</v>
      </c>
      <c r="O597" s="6" t="n">
        <v>6</v>
      </c>
      <c r="P597" s="6" t="n">
        <v>65</v>
      </c>
      <c r="Q597" s="6" t="inlineStr">
        <is>
          <t>Yes</t>
        </is>
      </c>
      <c r="R597" s="6">
        <f>IF(K597="Yes",1,0)</f>
        <v/>
      </c>
      <c r="S597" s="6">
        <f>IF(K597="No",1,0)</f>
        <v/>
      </c>
      <c r="T597" s="6">
        <f>ROUND((IF(L597="",'Subscriptions'!$T$2,L597)-J597)/30.44,1)</f>
        <v/>
      </c>
      <c r="U597" s="6">
        <f>IF(AND(P597&lt;'Subscriptions'!$T$4,O597&lt;='Subscriptions'!$T$5),1,0)</f>
        <v/>
      </c>
    </row>
    <row r="598">
      <c r="A598" s="6" t="inlineStr">
        <is>
          <t>CUST-0597</t>
        </is>
      </c>
      <c r="B598" s="6" t="inlineStr">
        <is>
          <t>Professional</t>
        </is>
      </c>
      <c r="C598" s="6" t="inlineStr">
        <is>
          <t>Annual</t>
        </is>
      </c>
      <c r="D598" s="6" t="inlineStr">
        <is>
          <t>Technology</t>
        </is>
      </c>
      <c r="E598" s="6" t="inlineStr">
        <is>
          <t>201-500</t>
        </is>
      </c>
      <c r="F598" s="6" t="n">
        <v>106</v>
      </c>
      <c r="G598" s="6" t="n">
        <v>1124.76</v>
      </c>
      <c r="H598" s="6" t="inlineStr">
        <is>
          <t>Direct Sales</t>
        </is>
      </c>
      <c r="I598" s="6" t="inlineStr">
        <is>
          <t>Europe</t>
        </is>
      </c>
      <c r="J598" s="7" t="n">
        <v>45102</v>
      </c>
      <c r="K598" s="6" t="inlineStr">
        <is>
          <t>No</t>
        </is>
      </c>
      <c r="L598" s="7" t="n"/>
      <c r="M598" s="6" t="n"/>
      <c r="N598" s="6" t="n">
        <v>3</v>
      </c>
      <c r="O598" s="6" t="n">
        <v>3</v>
      </c>
      <c r="P598" s="6" t="n">
        <v>57</v>
      </c>
      <c r="Q598" s="6" t="inlineStr">
        <is>
          <t>No</t>
        </is>
      </c>
      <c r="R598" s="6">
        <f>IF(K598="Yes",1,0)</f>
        <v/>
      </c>
      <c r="S598" s="6">
        <f>IF(K598="No",1,0)</f>
        <v/>
      </c>
      <c r="T598" s="6">
        <f>ROUND((IF(L598="",'Subscriptions'!$T$2,L598)-J598)/30.44,1)</f>
        <v/>
      </c>
      <c r="U598" s="6">
        <f>IF(AND(P598&lt;'Subscriptions'!$T$4,O598&lt;='Subscriptions'!$T$5),1,0)</f>
        <v/>
      </c>
    </row>
    <row r="599">
      <c r="A599" s="6" t="inlineStr">
        <is>
          <t>CUST-0598</t>
        </is>
      </c>
      <c r="B599" s="6" t="inlineStr">
        <is>
          <t>Starter</t>
        </is>
      </c>
      <c r="C599" s="6" t="inlineStr">
        <is>
          <t>Monthly</t>
        </is>
      </c>
      <c r="D599" s="6" t="inlineStr">
        <is>
          <t>Technology</t>
        </is>
      </c>
      <c r="E599" s="6" t="inlineStr">
        <is>
          <t>201-500</t>
        </is>
      </c>
      <c r="F599" s="6" t="n">
        <v>84</v>
      </c>
      <c r="G599" s="6" t="n">
        <v>390.05</v>
      </c>
      <c r="H599" s="6" t="inlineStr">
        <is>
          <t>Organic Search</t>
        </is>
      </c>
      <c r="I599" s="6" t="inlineStr">
        <is>
          <t>Latin America</t>
        </is>
      </c>
      <c r="J599" s="7" t="n">
        <v>45174</v>
      </c>
      <c r="K599" s="6" t="inlineStr">
        <is>
          <t>No</t>
        </is>
      </c>
      <c r="L599" s="7" t="n"/>
      <c r="M599" s="6" t="n"/>
      <c r="N599" s="6" t="n">
        <v>3</v>
      </c>
      <c r="O599" s="6" t="n">
        <v>4</v>
      </c>
      <c r="P599" s="6" t="n">
        <v>67</v>
      </c>
      <c r="Q599" s="6" t="inlineStr">
        <is>
          <t>No</t>
        </is>
      </c>
      <c r="R599" s="6">
        <f>IF(K599="Yes",1,0)</f>
        <v/>
      </c>
      <c r="S599" s="6">
        <f>IF(K599="No",1,0)</f>
        <v/>
      </c>
      <c r="T599" s="6">
        <f>ROUND((IF(L599="",'Subscriptions'!$T$2,L599)-J599)/30.44,1)</f>
        <v/>
      </c>
      <c r="U599" s="6">
        <f>IF(AND(P599&lt;'Subscriptions'!$T$4,O599&lt;='Subscriptions'!$T$5),1,0)</f>
        <v/>
      </c>
    </row>
    <row r="600">
      <c r="A600" s="6" t="inlineStr">
        <is>
          <t>CUST-0599</t>
        </is>
      </c>
      <c r="B600" s="6" t="inlineStr">
        <is>
          <t>Professional</t>
        </is>
      </c>
      <c r="C600" s="6" t="inlineStr">
        <is>
          <t>Annual</t>
        </is>
      </c>
      <c r="D600" s="6" t="inlineStr">
        <is>
          <t>Retail</t>
        </is>
      </c>
      <c r="E600" s="6" t="inlineStr">
        <is>
          <t>11-50</t>
        </is>
      </c>
      <c r="F600" s="6" t="n">
        <v>18</v>
      </c>
      <c r="G600" s="6" t="n">
        <v>238.38</v>
      </c>
      <c r="H600" s="6" t="inlineStr">
        <is>
          <t>Organic Search</t>
        </is>
      </c>
      <c r="I600" s="6" t="inlineStr">
        <is>
          <t>North America</t>
        </is>
      </c>
      <c r="J600" s="7" t="n">
        <v>45107</v>
      </c>
      <c r="K600" s="6" t="inlineStr">
        <is>
          <t>No</t>
        </is>
      </c>
      <c r="L600" s="7" t="n"/>
      <c r="M600" s="6" t="n"/>
      <c r="N600" s="6" t="n">
        <v>11</v>
      </c>
      <c r="O600" s="6" t="n">
        <v>4</v>
      </c>
      <c r="P600" s="6" t="n">
        <v>50</v>
      </c>
      <c r="Q600" s="6" t="inlineStr">
        <is>
          <t>No</t>
        </is>
      </c>
      <c r="R600" s="6">
        <f>IF(K600="Yes",1,0)</f>
        <v/>
      </c>
      <c r="S600" s="6">
        <f>IF(K600="No",1,0)</f>
        <v/>
      </c>
      <c r="T600" s="6">
        <f>ROUND((IF(L600="",'Subscriptions'!$T$2,L600)-J600)/30.44,1)</f>
        <v/>
      </c>
      <c r="U600" s="6">
        <f>IF(AND(P600&lt;'Subscriptions'!$T$4,O600&lt;='Subscriptions'!$T$5),1,0)</f>
        <v/>
      </c>
    </row>
    <row r="601">
      <c r="A601" s="6" t="inlineStr">
        <is>
          <t>CUST-0600</t>
        </is>
      </c>
      <c r="B601" s="6" t="inlineStr">
        <is>
          <t>Starter</t>
        </is>
      </c>
      <c r="C601" s="6" t="inlineStr">
        <is>
          <t>Monthly</t>
        </is>
      </c>
      <c r="D601" s="6" t="inlineStr">
        <is>
          <t>Media</t>
        </is>
      </c>
      <c r="E601" s="6" t="inlineStr">
        <is>
          <t>500+</t>
        </is>
      </c>
      <c r="F601" s="6" t="n">
        <v>87</v>
      </c>
      <c r="G601" s="6" t="n">
        <v>403.1</v>
      </c>
      <c r="H601" s="6" t="inlineStr">
        <is>
          <t>Partner</t>
        </is>
      </c>
      <c r="I601" s="6" t="inlineStr">
        <is>
          <t>Europe</t>
        </is>
      </c>
      <c r="J601" s="7" t="n">
        <v>45976</v>
      </c>
      <c r="K601" s="6" t="inlineStr">
        <is>
          <t>No</t>
        </is>
      </c>
      <c r="L601" s="7" t="n"/>
      <c r="M601" s="6" t="n"/>
      <c r="N601" s="6" t="n">
        <v>10</v>
      </c>
      <c r="O601" s="6" t="n">
        <v>10</v>
      </c>
      <c r="P601" s="6" t="n">
        <v>70</v>
      </c>
      <c r="Q601" s="6" t="inlineStr">
        <is>
          <t>No</t>
        </is>
      </c>
      <c r="R601" s="6">
        <f>IF(K601="Yes",1,0)</f>
        <v/>
      </c>
      <c r="S601" s="6">
        <f>IF(K601="No",1,0)</f>
        <v/>
      </c>
      <c r="T601" s="6">
        <f>ROUND((IF(L601="",'Subscriptions'!$T$2,L601)-J601)/30.44,1)</f>
        <v/>
      </c>
      <c r="U601" s="6">
        <f>IF(AND(P601&lt;'Subscriptions'!$T$4,O601&lt;='Subscriptions'!$T$5),1,0)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month</t>
        </is>
      </c>
      <c r="B1" s="5" t="inlineStr">
        <is>
          <t>total_active_customers</t>
        </is>
      </c>
      <c r="C1" s="5" t="inlineStr">
        <is>
          <t>new_customers</t>
        </is>
      </c>
      <c r="D1" s="5" t="inlineStr">
        <is>
          <t>churned_customers</t>
        </is>
      </c>
      <c r="E1" s="5" t="inlineStr">
        <is>
          <t>monthly_churn_rate_pct</t>
        </is>
      </c>
      <c r="F1" s="5" t="inlineStr">
        <is>
          <t>total_mrr</t>
        </is>
      </c>
      <c r="G1" s="5" t="inlineStr">
        <is>
          <t>avg_revenue_per_customer</t>
        </is>
      </c>
      <c r="H1" s="5" t="inlineStr">
        <is>
          <t>customer_acquisition_cost</t>
        </is>
      </c>
    </row>
    <row r="2">
      <c r="A2" s="6" t="inlineStr">
        <is>
          <t>2022-01</t>
        </is>
      </c>
      <c r="B2" s="6" t="n">
        <v>0</v>
      </c>
      <c r="C2" s="6" t="n">
        <v>5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164.92</v>
      </c>
    </row>
    <row r="3">
      <c r="A3" s="6" t="inlineStr">
        <is>
          <t>2022-02</t>
        </is>
      </c>
      <c r="B3" s="6" t="n">
        <v>5</v>
      </c>
      <c r="C3" s="6" t="n">
        <v>10</v>
      </c>
      <c r="D3" s="6" t="n">
        <v>1</v>
      </c>
      <c r="E3" s="6" t="n">
        <v>20</v>
      </c>
      <c r="F3" s="6" t="n">
        <v>7333.07</v>
      </c>
      <c r="G3" s="6" t="n">
        <v>1466.61</v>
      </c>
      <c r="H3" s="6" t="n">
        <v>189.21</v>
      </c>
    </row>
    <row r="4">
      <c r="A4" s="6" t="inlineStr">
        <is>
          <t>2022-03</t>
        </is>
      </c>
      <c r="B4" s="6" t="n">
        <v>14</v>
      </c>
      <c r="C4" s="6" t="n">
        <v>13</v>
      </c>
      <c r="D4" s="6" t="n">
        <v>0</v>
      </c>
      <c r="E4" s="6" t="n">
        <v>0</v>
      </c>
      <c r="F4" s="6" t="n">
        <v>12301.16</v>
      </c>
      <c r="G4" s="6" t="n">
        <v>878.65</v>
      </c>
      <c r="H4" s="6" t="n">
        <v>139.49</v>
      </c>
    </row>
    <row r="5">
      <c r="A5" s="6" t="inlineStr">
        <is>
          <t>2022-04</t>
        </is>
      </c>
      <c r="B5" s="6" t="n">
        <v>28</v>
      </c>
      <c r="C5" s="6" t="n">
        <v>11</v>
      </c>
      <c r="D5" s="6" t="n">
        <v>3</v>
      </c>
      <c r="E5" s="6" t="n">
        <v>10.71</v>
      </c>
      <c r="F5" s="6" t="n">
        <v>24798.76</v>
      </c>
      <c r="G5" s="6" t="n">
        <v>885.67</v>
      </c>
      <c r="H5" s="6" t="n">
        <v>259.09</v>
      </c>
    </row>
    <row r="6">
      <c r="A6" s="6" t="inlineStr">
        <is>
          <t>2022-05</t>
        </is>
      </c>
      <c r="B6" s="6" t="n">
        <v>35</v>
      </c>
      <c r="C6" s="6" t="n">
        <v>11</v>
      </c>
      <c r="D6" s="6" t="n">
        <v>1</v>
      </c>
      <c r="E6" s="6" t="n">
        <v>2.86</v>
      </c>
      <c r="F6" s="6" t="n">
        <v>29091.88</v>
      </c>
      <c r="G6" s="6" t="n">
        <v>831.2</v>
      </c>
      <c r="H6" s="6" t="n">
        <v>152.96</v>
      </c>
    </row>
    <row r="7">
      <c r="A7" s="6" t="inlineStr">
        <is>
          <t>2022-06</t>
        </is>
      </c>
      <c r="B7" s="6" t="n">
        <v>46</v>
      </c>
      <c r="C7" s="6" t="n">
        <v>10</v>
      </c>
      <c r="D7" s="6" t="n">
        <v>2</v>
      </c>
      <c r="E7" s="6" t="n">
        <v>4.35</v>
      </c>
      <c r="F7" s="6" t="n">
        <v>38919.93</v>
      </c>
      <c r="G7" s="6" t="n">
        <v>846.09</v>
      </c>
      <c r="H7" s="6" t="n">
        <v>248.89</v>
      </c>
    </row>
    <row r="8">
      <c r="A8" s="6" t="inlineStr">
        <is>
          <t>2022-07</t>
        </is>
      </c>
      <c r="B8" s="6" t="n">
        <v>53</v>
      </c>
      <c r="C8" s="6" t="n">
        <v>8</v>
      </c>
      <c r="D8" s="6" t="n">
        <v>6</v>
      </c>
      <c r="E8" s="6" t="n">
        <v>11.32</v>
      </c>
      <c r="F8" s="6" t="n">
        <v>45097.72</v>
      </c>
      <c r="G8" s="6" t="n">
        <v>850.9</v>
      </c>
      <c r="H8" s="6" t="n">
        <v>275.08</v>
      </c>
    </row>
    <row r="9">
      <c r="A9" s="6" t="inlineStr">
        <is>
          <t>2022-08</t>
        </is>
      </c>
      <c r="B9" s="6" t="n">
        <v>57</v>
      </c>
      <c r="C9" s="6" t="n">
        <v>18</v>
      </c>
      <c r="D9" s="6" t="n">
        <v>6</v>
      </c>
      <c r="E9" s="6" t="n">
        <v>10.53</v>
      </c>
      <c r="F9" s="6" t="n">
        <v>54140.41</v>
      </c>
      <c r="G9" s="6" t="n">
        <v>949.83</v>
      </c>
      <c r="H9" s="6" t="n">
        <v>193.48</v>
      </c>
    </row>
    <row r="10">
      <c r="A10" s="6" t="inlineStr">
        <is>
          <t>2022-09</t>
        </is>
      </c>
      <c r="B10" s="6" t="n">
        <v>67</v>
      </c>
      <c r="C10" s="6" t="n">
        <v>13</v>
      </c>
      <c r="D10" s="6" t="n">
        <v>5</v>
      </c>
      <c r="E10" s="6" t="n">
        <v>7.46</v>
      </c>
      <c r="F10" s="6" t="n">
        <v>65198</v>
      </c>
      <c r="G10" s="6" t="n">
        <v>973.1</v>
      </c>
      <c r="H10" s="6" t="n">
        <v>216</v>
      </c>
    </row>
    <row r="11">
      <c r="A11" s="6" t="inlineStr">
        <is>
          <t>2022-10</t>
        </is>
      </c>
      <c r="B11" s="6" t="n">
        <v>76</v>
      </c>
      <c r="C11" s="6" t="n">
        <v>16</v>
      </c>
      <c r="D11" s="6" t="n">
        <v>5</v>
      </c>
      <c r="E11" s="6" t="n">
        <v>6.58</v>
      </c>
      <c r="F11" s="6" t="n">
        <v>86824.16</v>
      </c>
      <c r="G11" s="6" t="n">
        <v>1142.42</v>
      </c>
      <c r="H11" s="6" t="n">
        <v>246.32</v>
      </c>
    </row>
    <row r="12">
      <c r="A12" s="6" t="inlineStr">
        <is>
          <t>2022-11</t>
        </is>
      </c>
      <c r="B12" s="6" t="n">
        <v>87</v>
      </c>
      <c r="C12" s="6" t="n">
        <v>14</v>
      </c>
      <c r="D12" s="6" t="n">
        <v>5</v>
      </c>
      <c r="E12" s="6" t="n">
        <v>5.75</v>
      </c>
      <c r="F12" s="6" t="n">
        <v>93168.11</v>
      </c>
      <c r="G12" s="6" t="n">
        <v>1070.9</v>
      </c>
      <c r="H12" s="6" t="n">
        <v>130.12</v>
      </c>
    </row>
    <row r="13">
      <c r="A13" s="6" t="inlineStr">
        <is>
          <t>2022-12</t>
        </is>
      </c>
      <c r="B13" s="6" t="n">
        <v>95</v>
      </c>
      <c r="C13" s="6" t="n">
        <v>14</v>
      </c>
      <c r="D13" s="6" t="n">
        <v>2</v>
      </c>
      <c r="E13" s="6" t="n">
        <v>2.11</v>
      </c>
      <c r="F13" s="6" t="n">
        <v>96100.66</v>
      </c>
      <c r="G13" s="6" t="n">
        <v>1011.59</v>
      </c>
      <c r="H13" s="6" t="n">
        <v>160.94</v>
      </c>
    </row>
    <row r="14">
      <c r="A14" s="6" t="inlineStr">
        <is>
          <t>2023-01</t>
        </is>
      </c>
      <c r="B14" s="6" t="n">
        <v>107</v>
      </c>
      <c r="C14" s="6" t="n">
        <v>12</v>
      </c>
      <c r="D14" s="6" t="n">
        <v>4</v>
      </c>
      <c r="E14" s="6" t="n">
        <v>3.74</v>
      </c>
      <c r="F14" s="6" t="n">
        <v>104773.35</v>
      </c>
      <c r="G14" s="6" t="n">
        <v>979.1900000000001</v>
      </c>
      <c r="H14" s="6" t="n">
        <v>258.65</v>
      </c>
    </row>
    <row r="15">
      <c r="A15" s="6" t="inlineStr">
        <is>
          <t>2023-02</t>
        </is>
      </c>
      <c r="B15" s="6" t="n">
        <v>115</v>
      </c>
      <c r="C15" s="6" t="n">
        <v>10</v>
      </c>
      <c r="D15" s="6" t="n">
        <v>3</v>
      </c>
      <c r="E15" s="6" t="n">
        <v>2.61</v>
      </c>
      <c r="F15" s="6" t="n">
        <v>115539.13</v>
      </c>
      <c r="G15" s="6" t="n">
        <v>1004.69</v>
      </c>
      <c r="H15" s="6" t="n">
        <v>262.48</v>
      </c>
    </row>
    <row r="16">
      <c r="A16" s="6" t="inlineStr">
        <is>
          <t>2023-03</t>
        </is>
      </c>
      <c r="B16" s="6" t="n">
        <v>123</v>
      </c>
      <c r="C16" s="6" t="n">
        <v>5</v>
      </c>
      <c r="D16" s="6" t="n">
        <v>2</v>
      </c>
      <c r="E16" s="6" t="n">
        <v>1.63</v>
      </c>
      <c r="F16" s="6" t="n">
        <v>125258.61</v>
      </c>
      <c r="G16" s="6" t="n">
        <v>1018.36</v>
      </c>
      <c r="H16" s="6" t="n">
        <v>274.97</v>
      </c>
    </row>
    <row r="17">
      <c r="A17" s="6" t="inlineStr">
        <is>
          <t>2023-04</t>
        </is>
      </c>
      <c r="B17" s="6" t="n">
        <v>125</v>
      </c>
      <c r="C17" s="6" t="n">
        <v>14</v>
      </c>
      <c r="D17" s="6" t="n">
        <v>8</v>
      </c>
      <c r="E17" s="6" t="n">
        <v>6.4</v>
      </c>
      <c r="F17" s="6" t="n">
        <v>129471.28</v>
      </c>
      <c r="G17" s="6" t="n">
        <v>1035.77</v>
      </c>
      <c r="H17" s="6" t="n">
        <v>271.47</v>
      </c>
    </row>
    <row r="18">
      <c r="A18" s="6" t="inlineStr">
        <is>
          <t>2023-05</t>
        </is>
      </c>
      <c r="B18" s="6" t="n">
        <v>133</v>
      </c>
      <c r="C18" s="6" t="n">
        <v>13</v>
      </c>
      <c r="D18" s="6" t="n">
        <v>4</v>
      </c>
      <c r="E18" s="6" t="n">
        <v>3.01</v>
      </c>
      <c r="F18" s="6" t="n">
        <v>142401.69</v>
      </c>
      <c r="G18" s="6" t="n">
        <v>1070.69</v>
      </c>
      <c r="H18" s="6" t="n">
        <v>122.99</v>
      </c>
    </row>
    <row r="19">
      <c r="A19" s="6" t="inlineStr">
        <is>
          <t>2023-06</t>
        </is>
      </c>
      <c r="B19" s="6" t="n">
        <v>140</v>
      </c>
      <c r="C19" s="6" t="n">
        <v>15</v>
      </c>
      <c r="D19" s="6" t="n">
        <v>10</v>
      </c>
      <c r="E19" s="6" t="n">
        <v>7.14</v>
      </c>
      <c r="F19" s="6" t="n">
        <v>142966.32</v>
      </c>
      <c r="G19" s="6" t="n">
        <v>1021.19</v>
      </c>
      <c r="H19" s="6" t="n">
        <v>161.5</v>
      </c>
    </row>
    <row r="20">
      <c r="A20" s="6" t="inlineStr">
        <is>
          <t>2023-07</t>
        </is>
      </c>
      <c r="B20" s="6" t="n">
        <v>145</v>
      </c>
      <c r="C20" s="6" t="n">
        <v>19</v>
      </c>
      <c r="D20" s="6" t="n">
        <v>7</v>
      </c>
      <c r="E20" s="6" t="n">
        <v>4.83</v>
      </c>
      <c r="F20" s="6" t="n">
        <v>147630.36</v>
      </c>
      <c r="G20" s="6" t="n">
        <v>1018.14</v>
      </c>
      <c r="H20" s="6" t="n">
        <v>279.59</v>
      </c>
    </row>
    <row r="21">
      <c r="A21" s="6" t="inlineStr">
        <is>
          <t>2023-08</t>
        </is>
      </c>
      <c r="B21" s="6" t="n">
        <v>157</v>
      </c>
      <c r="C21" s="6" t="n">
        <v>10</v>
      </c>
      <c r="D21" s="6" t="n">
        <v>7</v>
      </c>
      <c r="E21" s="6" t="n">
        <v>4.46</v>
      </c>
      <c r="F21" s="6" t="n">
        <v>158920.7</v>
      </c>
      <c r="G21" s="6" t="n">
        <v>1012.23</v>
      </c>
      <c r="H21" s="6" t="n">
        <v>131.26</v>
      </c>
    </row>
    <row r="22">
      <c r="A22" s="6" t="inlineStr">
        <is>
          <t>2023-09</t>
        </is>
      </c>
      <c r="B22" s="6" t="n">
        <v>160</v>
      </c>
      <c r="C22" s="6" t="n">
        <v>17</v>
      </c>
      <c r="D22" s="6" t="n">
        <v>7</v>
      </c>
      <c r="E22" s="6" t="n">
        <v>4.38</v>
      </c>
      <c r="F22" s="6" t="n">
        <v>162830.02</v>
      </c>
      <c r="G22" s="6" t="n">
        <v>1017.69</v>
      </c>
      <c r="H22" s="6" t="n">
        <v>258.93</v>
      </c>
    </row>
    <row r="23">
      <c r="A23" s="6" t="inlineStr">
        <is>
          <t>2023-10</t>
        </is>
      </c>
      <c r="B23" s="6" t="n">
        <v>170</v>
      </c>
      <c r="C23" s="6" t="n">
        <v>16</v>
      </c>
      <c r="D23" s="6" t="n">
        <v>5</v>
      </c>
      <c r="E23" s="6" t="n">
        <v>2.94</v>
      </c>
      <c r="F23" s="6" t="n">
        <v>170763.72</v>
      </c>
      <c r="G23" s="6" t="n">
        <v>1004.49</v>
      </c>
      <c r="H23" s="6" t="n">
        <v>240.01</v>
      </c>
    </row>
    <row r="24">
      <c r="A24" s="6" t="inlineStr">
        <is>
          <t>2023-11</t>
        </is>
      </c>
      <c r="B24" s="6" t="n">
        <v>181</v>
      </c>
      <c r="C24" s="6" t="n">
        <v>11</v>
      </c>
      <c r="D24" s="6" t="n">
        <v>8</v>
      </c>
      <c r="E24" s="6" t="n">
        <v>4.42</v>
      </c>
      <c r="F24" s="6" t="n">
        <v>184058.29</v>
      </c>
      <c r="G24" s="6" t="n">
        <v>1016.9</v>
      </c>
      <c r="H24" s="6" t="n">
        <v>178.83</v>
      </c>
    </row>
    <row r="25">
      <c r="A25" s="6" t="inlineStr">
        <is>
          <t>2023-12</t>
        </is>
      </c>
      <c r="B25" s="6" t="n">
        <v>183</v>
      </c>
      <c r="C25" s="6" t="n">
        <v>9</v>
      </c>
      <c r="D25" s="6" t="n">
        <v>7</v>
      </c>
      <c r="E25" s="6" t="n">
        <v>3.83</v>
      </c>
      <c r="F25" s="6" t="n">
        <v>189579.35</v>
      </c>
      <c r="G25" s="6" t="n">
        <v>1035.95</v>
      </c>
      <c r="H25" s="6" t="n">
        <v>180.21</v>
      </c>
    </row>
    <row r="26">
      <c r="A26" s="6" t="inlineStr">
        <is>
          <t>2024-01</t>
        </is>
      </c>
      <c r="B26" s="6" t="n">
        <v>186</v>
      </c>
      <c r="C26" s="6" t="n">
        <v>10</v>
      </c>
      <c r="D26" s="6" t="n">
        <v>7</v>
      </c>
      <c r="E26" s="6" t="n">
        <v>3.76</v>
      </c>
      <c r="F26" s="6" t="n">
        <v>191783.54</v>
      </c>
      <c r="G26" s="6" t="n">
        <v>1031.09</v>
      </c>
      <c r="H26" s="6" t="n">
        <v>275.62</v>
      </c>
    </row>
    <row r="27">
      <c r="A27" s="6" t="inlineStr">
        <is>
          <t>2024-02</t>
        </is>
      </c>
      <c r="B27" s="6" t="n">
        <v>188</v>
      </c>
      <c r="C27" s="6" t="n">
        <v>7</v>
      </c>
      <c r="D27" s="6" t="n">
        <v>8</v>
      </c>
      <c r="E27" s="6" t="n">
        <v>4.26</v>
      </c>
      <c r="F27" s="6" t="n">
        <v>192379.41</v>
      </c>
      <c r="G27" s="6" t="n">
        <v>1023.29</v>
      </c>
      <c r="H27" s="6" t="n">
        <v>142.08</v>
      </c>
    </row>
    <row r="28">
      <c r="A28" s="6" t="inlineStr">
        <is>
          <t>2024-03</t>
        </is>
      </c>
      <c r="B28" s="6" t="n">
        <v>189</v>
      </c>
      <c r="C28" s="6" t="n">
        <v>19</v>
      </c>
      <c r="D28" s="6" t="n">
        <v>4</v>
      </c>
      <c r="E28" s="6" t="n">
        <v>2.12</v>
      </c>
      <c r="F28" s="6" t="n">
        <v>196219.33</v>
      </c>
      <c r="G28" s="6" t="n">
        <v>1038.2</v>
      </c>
      <c r="H28" s="6" t="n">
        <v>251.87</v>
      </c>
    </row>
    <row r="29">
      <c r="A29" s="6" t="inlineStr">
        <is>
          <t>2024-04</t>
        </is>
      </c>
      <c r="B29" s="6" t="n">
        <v>203</v>
      </c>
      <c r="C29" s="6" t="n">
        <v>11</v>
      </c>
      <c r="D29" s="6" t="n">
        <v>8</v>
      </c>
      <c r="E29" s="6" t="n">
        <v>3.94</v>
      </c>
      <c r="F29" s="6" t="n">
        <v>200076.61</v>
      </c>
      <c r="G29" s="6" t="n">
        <v>985.6</v>
      </c>
      <c r="H29" s="6" t="n">
        <v>212.11</v>
      </c>
    </row>
    <row r="30">
      <c r="A30" s="6" t="inlineStr">
        <is>
          <t>2024-05</t>
        </is>
      </c>
      <c r="B30" s="6" t="n">
        <v>206</v>
      </c>
      <c r="C30" s="6" t="n">
        <v>14</v>
      </c>
      <c r="D30" s="6" t="n">
        <v>8</v>
      </c>
      <c r="E30" s="6" t="n">
        <v>3.88</v>
      </c>
      <c r="F30" s="6" t="n">
        <v>217117.58</v>
      </c>
      <c r="G30" s="6" t="n">
        <v>1053.97</v>
      </c>
      <c r="H30" s="6" t="n">
        <v>139.55</v>
      </c>
    </row>
    <row r="31">
      <c r="A31" s="6" t="inlineStr">
        <is>
          <t>2024-06</t>
        </is>
      </c>
      <c r="B31" s="6" t="n">
        <v>213</v>
      </c>
      <c r="C31" s="6" t="n">
        <v>13</v>
      </c>
      <c r="D31" s="6" t="n">
        <v>9</v>
      </c>
      <c r="E31" s="6" t="n">
        <v>4.23</v>
      </c>
      <c r="F31" s="6" t="n">
        <v>215810.52</v>
      </c>
      <c r="G31" s="6" t="n">
        <v>1013.19</v>
      </c>
      <c r="H31" s="6" t="n">
        <v>241.12</v>
      </c>
    </row>
    <row r="32">
      <c r="A32" s="6" t="inlineStr">
        <is>
          <t>2024-07</t>
        </is>
      </c>
      <c r="B32" s="6" t="n">
        <v>216</v>
      </c>
      <c r="C32" s="6" t="n">
        <v>14</v>
      </c>
      <c r="D32" s="6" t="n">
        <v>8</v>
      </c>
      <c r="E32" s="6" t="n">
        <v>3.7</v>
      </c>
      <c r="F32" s="6" t="n">
        <v>222303.36</v>
      </c>
      <c r="G32" s="6" t="n">
        <v>1029.18</v>
      </c>
      <c r="H32" s="6" t="n">
        <v>201.02</v>
      </c>
    </row>
    <row r="33">
      <c r="A33" s="6" t="inlineStr">
        <is>
          <t>2024-08</t>
        </is>
      </c>
      <c r="B33" s="6" t="n">
        <v>223</v>
      </c>
      <c r="C33" s="6" t="n">
        <v>12</v>
      </c>
      <c r="D33" s="6" t="n">
        <v>7</v>
      </c>
      <c r="E33" s="6" t="n">
        <v>3.14</v>
      </c>
      <c r="F33" s="6" t="n">
        <v>242222.62</v>
      </c>
      <c r="G33" s="6" t="n">
        <v>1086.2</v>
      </c>
      <c r="H33" s="6" t="n">
        <v>128.12</v>
      </c>
    </row>
    <row r="34">
      <c r="A34" s="6" t="inlineStr">
        <is>
          <t>2024-09</t>
        </is>
      </c>
      <c r="B34" s="6" t="n">
        <v>226</v>
      </c>
      <c r="C34" s="6" t="n">
        <v>11</v>
      </c>
      <c r="D34" s="6" t="n">
        <v>7</v>
      </c>
      <c r="E34" s="6" t="n">
        <v>3.1</v>
      </c>
      <c r="F34" s="6" t="n">
        <v>234749.84</v>
      </c>
      <c r="G34" s="6" t="n">
        <v>1038.72</v>
      </c>
      <c r="H34" s="6" t="n">
        <v>125.59</v>
      </c>
    </row>
    <row r="35">
      <c r="A35" s="6" t="inlineStr">
        <is>
          <t>2024-10</t>
        </is>
      </c>
      <c r="B35" s="6" t="n">
        <v>233</v>
      </c>
      <c r="C35" s="6" t="n">
        <v>13</v>
      </c>
      <c r="D35" s="6" t="n">
        <v>7</v>
      </c>
      <c r="E35" s="6" t="n">
        <v>3</v>
      </c>
      <c r="F35" s="6" t="n">
        <v>239344.73</v>
      </c>
      <c r="G35" s="6" t="n">
        <v>1027.23</v>
      </c>
      <c r="H35" s="6" t="n">
        <v>242.79</v>
      </c>
    </row>
    <row r="36">
      <c r="A36" s="6" t="inlineStr">
        <is>
          <t>2024-11</t>
        </is>
      </c>
      <c r="B36" s="6" t="n">
        <v>238</v>
      </c>
      <c r="C36" s="6" t="n">
        <v>12</v>
      </c>
      <c r="D36" s="6" t="n">
        <v>9</v>
      </c>
      <c r="E36" s="6" t="n">
        <v>3.78</v>
      </c>
      <c r="F36" s="6" t="n">
        <v>253489.47</v>
      </c>
      <c r="G36" s="6" t="n">
        <v>1065.08</v>
      </c>
      <c r="H36" s="6" t="n">
        <v>234.58</v>
      </c>
    </row>
    <row r="37">
      <c r="A37" s="6" t="inlineStr">
        <is>
          <t>2024-12</t>
        </is>
      </c>
      <c r="B37" s="6" t="n">
        <v>240</v>
      </c>
      <c r="C37" s="6" t="n">
        <v>15</v>
      </c>
      <c r="D37" s="6" t="n">
        <v>9</v>
      </c>
      <c r="E37" s="6" t="n">
        <v>3.75</v>
      </c>
      <c r="F37" s="6" t="n">
        <v>260856.24</v>
      </c>
      <c r="G37" s="6" t="n">
        <v>1086.9</v>
      </c>
      <c r="H37" s="6" t="n">
        <v>238.17</v>
      </c>
    </row>
    <row r="38">
      <c r="A38" s="6" t="inlineStr">
        <is>
          <t>2025-01</t>
        </is>
      </c>
      <c r="B38" s="6" t="n">
        <v>247</v>
      </c>
      <c r="C38" s="6" t="n">
        <v>13</v>
      </c>
      <c r="D38" s="6" t="n">
        <v>9</v>
      </c>
      <c r="E38" s="6" t="n">
        <v>3.64</v>
      </c>
      <c r="F38" s="6" t="n">
        <v>266142.93</v>
      </c>
      <c r="G38" s="6" t="n">
        <v>1077.5</v>
      </c>
      <c r="H38" s="6" t="n">
        <v>218.41</v>
      </c>
    </row>
    <row r="39">
      <c r="A39" s="6" t="inlineStr">
        <is>
          <t>2025-02</t>
        </is>
      </c>
      <c r="B39" s="6" t="n">
        <v>251</v>
      </c>
      <c r="C39" s="6" t="n">
        <v>15</v>
      </c>
      <c r="D39" s="6" t="n">
        <v>8</v>
      </c>
      <c r="E39" s="6" t="n">
        <v>3.19</v>
      </c>
      <c r="F39" s="6" t="n">
        <v>274162.54</v>
      </c>
      <c r="G39" s="6" t="n">
        <v>1092.28</v>
      </c>
      <c r="H39" s="6" t="n">
        <v>164.96</v>
      </c>
    </row>
    <row r="40">
      <c r="A40" s="6" t="inlineStr">
        <is>
          <t>2025-03</t>
        </is>
      </c>
      <c r="B40" s="6" t="n">
        <v>257</v>
      </c>
      <c r="C40" s="6" t="n">
        <v>18</v>
      </c>
      <c r="D40" s="6" t="n">
        <v>7</v>
      </c>
      <c r="E40" s="6" t="n">
        <v>2.72</v>
      </c>
      <c r="F40" s="6" t="n">
        <v>280928.08</v>
      </c>
      <c r="G40" s="6" t="n">
        <v>1093.11</v>
      </c>
      <c r="H40" s="6" t="n">
        <v>138.82</v>
      </c>
    </row>
    <row r="41">
      <c r="A41" s="6" t="inlineStr">
        <is>
          <t>2025-04</t>
        </is>
      </c>
      <c r="B41" s="6" t="n">
        <v>270</v>
      </c>
      <c r="C41" s="6" t="n">
        <v>13</v>
      </c>
      <c r="D41" s="6" t="n">
        <v>17</v>
      </c>
      <c r="E41" s="6" t="n">
        <v>6.3</v>
      </c>
      <c r="F41" s="6" t="n">
        <v>287791.15</v>
      </c>
      <c r="G41" s="6" t="n">
        <v>1065.89</v>
      </c>
      <c r="H41" s="6" t="n">
        <v>144.11</v>
      </c>
    </row>
    <row r="42">
      <c r="A42" s="6" t="inlineStr">
        <is>
          <t>2025-05</t>
        </is>
      </c>
      <c r="B42" s="6" t="n">
        <v>264</v>
      </c>
      <c r="C42" s="6" t="n">
        <v>12</v>
      </c>
      <c r="D42" s="6" t="n">
        <v>15</v>
      </c>
      <c r="E42" s="6" t="n">
        <v>5.68</v>
      </c>
      <c r="F42" s="6" t="n">
        <v>287207.82</v>
      </c>
      <c r="G42" s="6" t="n">
        <v>1087.91</v>
      </c>
      <c r="H42" s="6" t="n">
        <v>149.54</v>
      </c>
    </row>
    <row r="43">
      <c r="A43" s="6" t="inlineStr">
        <is>
          <t>2025-06</t>
        </is>
      </c>
      <c r="B43" s="6" t="n">
        <v>261</v>
      </c>
      <c r="C43" s="6" t="n">
        <v>15</v>
      </c>
      <c r="D43" s="6" t="n">
        <v>11</v>
      </c>
      <c r="E43" s="6" t="n">
        <v>4.21</v>
      </c>
      <c r="F43" s="6" t="n">
        <v>280683.13</v>
      </c>
      <c r="G43" s="6" t="n">
        <v>1075.41</v>
      </c>
      <c r="H43" s="6" t="n">
        <v>238.11</v>
      </c>
    </row>
    <row r="44">
      <c r="A44" s="6" t="inlineStr">
        <is>
          <t>2025-07</t>
        </is>
      </c>
      <c r="B44" s="6" t="n">
        <v>265</v>
      </c>
      <c r="C44" s="6" t="n">
        <v>9</v>
      </c>
      <c r="D44" s="6" t="n">
        <v>9</v>
      </c>
      <c r="E44" s="6" t="n">
        <v>3.4</v>
      </c>
      <c r="F44" s="6" t="n">
        <v>287661.73</v>
      </c>
      <c r="G44" s="6" t="n">
        <v>1085.52</v>
      </c>
      <c r="H44" s="6" t="n">
        <v>150.51</v>
      </c>
    </row>
    <row r="45">
      <c r="A45" s="6" t="inlineStr">
        <is>
          <t>2025-08</t>
        </is>
      </c>
      <c r="B45" s="6" t="n">
        <v>265</v>
      </c>
      <c r="C45" s="6" t="n">
        <v>7</v>
      </c>
      <c r="D45" s="6" t="n">
        <v>7</v>
      </c>
      <c r="E45" s="6" t="n">
        <v>2.64</v>
      </c>
      <c r="F45" s="6" t="n">
        <v>287743</v>
      </c>
      <c r="G45" s="6" t="n">
        <v>1085.82</v>
      </c>
      <c r="H45" s="6" t="n">
        <v>129.38</v>
      </c>
    </row>
    <row r="46">
      <c r="A46" s="6" t="inlineStr">
        <is>
          <t>2025-09</t>
        </is>
      </c>
      <c r="B46" s="6" t="n">
        <v>265</v>
      </c>
      <c r="C46" s="6" t="n">
        <v>13</v>
      </c>
      <c r="D46" s="6" t="n">
        <v>9</v>
      </c>
      <c r="E46" s="6" t="n">
        <v>3.4</v>
      </c>
      <c r="F46" s="6" t="n">
        <v>290824.44</v>
      </c>
      <c r="G46" s="6" t="n">
        <v>1097.45</v>
      </c>
      <c r="H46" s="6" t="n">
        <v>182.15</v>
      </c>
    </row>
    <row r="47">
      <c r="A47" s="6" t="inlineStr">
        <is>
          <t>2025-10</t>
        </is>
      </c>
      <c r="B47" s="6" t="n">
        <v>269</v>
      </c>
      <c r="C47" s="6" t="n">
        <v>18</v>
      </c>
      <c r="D47" s="6" t="n">
        <v>9</v>
      </c>
      <c r="E47" s="6" t="n">
        <v>3.35</v>
      </c>
      <c r="F47" s="6" t="n">
        <v>280089.15</v>
      </c>
      <c r="G47" s="6" t="n">
        <v>1041.22</v>
      </c>
      <c r="H47" s="6" t="n">
        <v>250.08</v>
      </c>
    </row>
    <row r="48">
      <c r="A48" s="6" t="inlineStr">
        <is>
          <t>2025-11</t>
        </is>
      </c>
      <c r="B48" s="6" t="n">
        <v>278</v>
      </c>
      <c r="C48" s="6" t="n">
        <v>11</v>
      </c>
      <c r="D48" s="6" t="n">
        <v>9</v>
      </c>
      <c r="E48" s="6" t="n">
        <v>3.24</v>
      </c>
      <c r="F48" s="6" t="n">
        <v>285261.36</v>
      </c>
      <c r="G48" s="6" t="n">
        <v>1026.12</v>
      </c>
      <c r="H48" s="6" t="n">
        <v>254.4</v>
      </c>
    </row>
    <row r="49">
      <c r="A49" s="6" t="inlineStr">
        <is>
          <t>2025-12</t>
        </is>
      </c>
      <c r="B49" s="6" t="n">
        <v>281</v>
      </c>
      <c r="C49" s="6" t="n">
        <v>11</v>
      </c>
      <c r="D49" s="6" t="n">
        <v>4</v>
      </c>
      <c r="E49" s="6" t="n">
        <v>1.42</v>
      </c>
      <c r="F49" s="6" t="n">
        <v>292628.61</v>
      </c>
      <c r="G49" s="6" t="n">
        <v>1041.38</v>
      </c>
      <c r="H49" s="6" t="n">
        <v>151.47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Churn Summary</t>
        </is>
      </c>
    </row>
    <row r="2">
      <c r="A2" s="2" t="inlineStr">
        <is>
          <t>Churn rate by plan, billing cycle, acquisition channel, and company size. Every cell below is a live COUNTIFS/SUMIFS formula against the Subscriptions tab.</t>
        </is>
      </c>
    </row>
    <row r="4">
      <c r="A4" s="3" t="inlineStr">
        <is>
          <t>Churn Rate by Plan</t>
        </is>
      </c>
    </row>
    <row r="5">
      <c r="A5" s="5" t="inlineStr">
        <is>
          <t>Plan</t>
        </is>
      </c>
      <c r="B5" s="5" t="inlineStr">
        <is>
          <t>Customers</t>
        </is>
      </c>
      <c r="C5" s="5" t="inlineStr">
        <is>
          <t>Churned</t>
        </is>
      </c>
      <c r="D5" s="5" t="inlineStr">
        <is>
          <t>Churn Rate</t>
        </is>
      </c>
      <c r="E5" s="5" t="inlineStr">
        <is>
          <t>Avg MRR</t>
        </is>
      </c>
    </row>
    <row r="6">
      <c r="A6" s="6" t="inlineStr">
        <is>
          <t>Starter</t>
        </is>
      </c>
      <c r="B6" s="6">
        <f>COUNTIF(Subscriptions!$B$2:$B$601,A6)</f>
        <v/>
      </c>
      <c r="C6" s="6">
        <f>SUMIFS(Subscriptions!$R$2:$R$601,Subscriptions!$B$2:$B$601,A6)</f>
        <v/>
      </c>
      <c r="D6" s="10">
        <f>C6/B6</f>
        <v/>
      </c>
      <c r="E6" s="11">
        <f>AVERAGEIFS(Subscriptions!$G$2:$G$601,Subscriptions!$B$2:$B$601,A6)</f>
        <v/>
      </c>
    </row>
    <row r="7">
      <c r="A7" s="6" t="inlineStr">
        <is>
          <t>Professional</t>
        </is>
      </c>
      <c r="B7" s="6">
        <f>COUNTIF(Subscriptions!$B$2:$B$601,A7)</f>
        <v/>
      </c>
      <c r="C7" s="6">
        <f>SUMIFS(Subscriptions!$R$2:$R$601,Subscriptions!$B$2:$B$601,A7)</f>
        <v/>
      </c>
      <c r="D7" s="10">
        <f>C7/B7</f>
        <v/>
      </c>
      <c r="E7" s="11">
        <f>AVERAGEIFS(Subscriptions!$G$2:$G$601,Subscriptions!$B$2:$B$601,A7)</f>
        <v/>
      </c>
    </row>
    <row r="8">
      <c r="A8" s="6" t="inlineStr">
        <is>
          <t>Business</t>
        </is>
      </c>
      <c r="B8" s="6">
        <f>COUNTIF(Subscriptions!$B$2:$B$601,A8)</f>
        <v/>
      </c>
      <c r="C8" s="6">
        <f>SUMIFS(Subscriptions!$R$2:$R$601,Subscriptions!$B$2:$B$601,A8)</f>
        <v/>
      </c>
      <c r="D8" s="10">
        <f>C8/B8</f>
        <v/>
      </c>
      <c r="E8" s="11">
        <f>AVERAGEIFS(Subscriptions!$G$2:$G$601,Subscriptions!$B$2:$B$601,A8)</f>
        <v/>
      </c>
    </row>
    <row r="9">
      <c r="A9" s="6" t="inlineStr">
        <is>
          <t>Enterprise</t>
        </is>
      </c>
      <c r="B9" s="6">
        <f>COUNTIF(Subscriptions!$B$2:$B$601,A9)</f>
        <v/>
      </c>
      <c r="C9" s="6">
        <f>SUMIFS(Subscriptions!$R$2:$R$601,Subscriptions!$B$2:$B$601,A9)</f>
        <v/>
      </c>
      <c r="D9" s="10">
        <f>C9/B9</f>
        <v/>
      </c>
      <c r="E9" s="11">
        <f>AVERAGEIFS(Subscriptions!$G$2:$G$601,Subscriptions!$B$2:$B$601,A9)</f>
        <v/>
      </c>
    </row>
    <row r="11">
      <c r="A11" s="3" t="inlineStr">
        <is>
          <t>Churn Rate by Billing Cycle</t>
        </is>
      </c>
    </row>
    <row r="12">
      <c r="A12" s="5" t="inlineStr">
        <is>
          <t>Billing Cycle</t>
        </is>
      </c>
      <c r="B12" s="5" t="inlineStr">
        <is>
          <t>Customers</t>
        </is>
      </c>
      <c r="C12" s="5" t="inlineStr">
        <is>
          <t>Churned</t>
        </is>
      </c>
      <c r="D12" s="5" t="inlineStr">
        <is>
          <t>Churn Rate</t>
        </is>
      </c>
    </row>
    <row r="13">
      <c r="A13" s="6" t="inlineStr">
        <is>
          <t>Monthly</t>
        </is>
      </c>
      <c r="B13" s="6">
        <f>COUNTIF(Subscriptions!$C$2:$C$601,A13)</f>
        <v/>
      </c>
      <c r="C13" s="6">
        <f>SUMIFS(Subscriptions!$R$2:$R$601,Subscriptions!$C$2:$C$601,A13)</f>
        <v/>
      </c>
      <c r="D13" s="10">
        <f>C13/B13</f>
        <v/>
      </c>
    </row>
    <row r="14">
      <c r="A14" s="6" t="inlineStr">
        <is>
          <t>Annual</t>
        </is>
      </c>
      <c r="B14" s="6">
        <f>COUNTIF(Subscriptions!$C$2:$C$601,A14)</f>
        <v/>
      </c>
      <c r="C14" s="6">
        <f>SUMIFS(Subscriptions!$R$2:$R$601,Subscriptions!$C$2:$C$601,A14)</f>
        <v/>
      </c>
      <c r="D14" s="10">
        <f>C14/B14</f>
        <v/>
      </c>
    </row>
    <row r="16">
      <c r="A16" s="3" t="inlineStr">
        <is>
          <t>Churn Rate by Plan x Billing Cycle</t>
        </is>
      </c>
    </row>
    <row r="17">
      <c r="A17" s="5" t="inlineStr">
        <is>
          <t>Plan</t>
        </is>
      </c>
      <c r="B17" s="5" t="inlineStr">
        <is>
          <t>Monthly Churn Rate</t>
        </is>
      </c>
      <c r="C17" s="5" t="inlineStr">
        <is>
          <t>Annual Churn Rate</t>
        </is>
      </c>
    </row>
    <row r="18">
      <c r="A18" s="6" t="inlineStr">
        <is>
          <t>Starter</t>
        </is>
      </c>
      <c r="B18" s="10">
        <f>SUMIFS(Subscriptions!$R$2:$R$601,Subscriptions!$B$2:$B$601,A18,Subscriptions!$C$2:$C$601,"Monthly")/COUNTIFS(Subscriptions!$B$2:$B$601,A18,Subscriptions!$C$2:$C$601,"Monthly")</f>
        <v/>
      </c>
      <c r="C18" s="10">
        <f>SUMIFS(Subscriptions!$R$2:$R$601,Subscriptions!$B$2:$B$601,A18,Subscriptions!$C$2:$C$601,"Annual")/COUNTIFS(Subscriptions!$B$2:$B$601,A18,Subscriptions!$C$2:$C$601,"Annual")</f>
        <v/>
      </c>
    </row>
    <row r="19">
      <c r="A19" s="6" t="inlineStr">
        <is>
          <t>Professional</t>
        </is>
      </c>
      <c r="B19" s="10">
        <f>SUMIFS(Subscriptions!$R$2:$R$601,Subscriptions!$B$2:$B$601,A19,Subscriptions!$C$2:$C$601,"Monthly")/COUNTIFS(Subscriptions!$B$2:$B$601,A19,Subscriptions!$C$2:$C$601,"Monthly")</f>
        <v/>
      </c>
      <c r="C19" s="10">
        <f>SUMIFS(Subscriptions!$R$2:$R$601,Subscriptions!$B$2:$B$601,A19,Subscriptions!$C$2:$C$601,"Annual")/COUNTIFS(Subscriptions!$B$2:$B$601,A19,Subscriptions!$C$2:$C$601,"Annual")</f>
        <v/>
      </c>
    </row>
    <row r="20">
      <c r="A20" s="6" t="inlineStr">
        <is>
          <t>Business</t>
        </is>
      </c>
      <c r="B20" s="10">
        <f>SUMIFS(Subscriptions!$R$2:$R$601,Subscriptions!$B$2:$B$601,A20,Subscriptions!$C$2:$C$601,"Monthly")/COUNTIFS(Subscriptions!$B$2:$B$601,A20,Subscriptions!$C$2:$C$601,"Monthly")</f>
        <v/>
      </c>
      <c r="C20" s="10">
        <f>SUMIFS(Subscriptions!$R$2:$R$601,Subscriptions!$B$2:$B$601,A20,Subscriptions!$C$2:$C$601,"Annual")/COUNTIFS(Subscriptions!$B$2:$B$601,A20,Subscriptions!$C$2:$C$601,"Annual")</f>
        <v/>
      </c>
    </row>
    <row r="21">
      <c r="A21" s="6" t="inlineStr">
        <is>
          <t>Enterprise</t>
        </is>
      </c>
      <c r="B21" s="10">
        <f>SUMIFS(Subscriptions!$R$2:$R$601,Subscriptions!$B$2:$B$601,A21,Subscriptions!$C$2:$C$601,"Monthly")/COUNTIFS(Subscriptions!$B$2:$B$601,A21,Subscriptions!$C$2:$C$601,"Monthly")</f>
        <v/>
      </c>
      <c r="C21" s="10">
        <f>SUMIFS(Subscriptions!$R$2:$R$601,Subscriptions!$B$2:$B$601,A21,Subscriptions!$C$2:$C$601,"Annual")/COUNTIFS(Subscriptions!$B$2:$B$601,A21,Subscriptions!$C$2:$C$601,"Annual")</f>
        <v/>
      </c>
    </row>
    <row r="23">
      <c r="A23" s="3" t="inlineStr">
        <is>
          <t>Churn Rate by Acquisition Channel</t>
        </is>
      </c>
    </row>
    <row r="24">
      <c r="A24" s="5" t="inlineStr">
        <is>
          <t>Channel</t>
        </is>
      </c>
      <c r="B24" s="5" t="inlineStr">
        <is>
          <t>Customers</t>
        </is>
      </c>
      <c r="C24" s="5" t="inlineStr">
        <is>
          <t>Churned</t>
        </is>
      </c>
      <c r="D24" s="5" t="inlineStr">
        <is>
          <t>Churn Rate</t>
        </is>
      </c>
    </row>
    <row r="25">
      <c r="A25" s="6" t="inlineStr">
        <is>
          <t>Referral</t>
        </is>
      </c>
      <c r="B25" s="6">
        <f>COUNTIF(Subscriptions!$H$2:$H$601,A25)</f>
        <v/>
      </c>
      <c r="C25" s="6">
        <f>SUMIFS(Subscriptions!$R$2:$R$601,Subscriptions!$H$2:$H$601,A25)</f>
        <v/>
      </c>
      <c r="D25" s="10">
        <f>C25/B25</f>
        <v/>
      </c>
    </row>
    <row r="26">
      <c r="A26" s="6" t="inlineStr">
        <is>
          <t>Partner</t>
        </is>
      </c>
      <c r="B26" s="6">
        <f>COUNTIF(Subscriptions!$H$2:$H$601,A26)</f>
        <v/>
      </c>
      <c r="C26" s="6">
        <f>SUMIFS(Subscriptions!$R$2:$R$601,Subscriptions!$H$2:$H$601,A26)</f>
        <v/>
      </c>
      <c r="D26" s="10">
        <f>C26/B26</f>
        <v/>
      </c>
    </row>
    <row r="27">
      <c r="A27" s="6" t="inlineStr">
        <is>
          <t>Social Media</t>
        </is>
      </c>
      <c r="B27" s="6">
        <f>COUNTIF(Subscriptions!$H$2:$H$601,A27)</f>
        <v/>
      </c>
      <c r="C27" s="6">
        <f>SUMIFS(Subscriptions!$R$2:$R$601,Subscriptions!$H$2:$H$601,A27)</f>
        <v/>
      </c>
      <c r="D27" s="10">
        <f>C27/B27</f>
        <v/>
      </c>
    </row>
    <row r="28">
      <c r="A28" s="6" t="inlineStr">
        <is>
          <t>Paid Ads</t>
        </is>
      </c>
      <c r="B28" s="6">
        <f>COUNTIF(Subscriptions!$H$2:$H$601,A28)</f>
        <v/>
      </c>
      <c r="C28" s="6">
        <f>SUMIFS(Subscriptions!$R$2:$R$601,Subscriptions!$H$2:$H$601,A28)</f>
        <v/>
      </c>
      <c r="D28" s="10">
        <f>C28/B28</f>
        <v/>
      </c>
    </row>
    <row r="29">
      <c r="A29" s="6" t="inlineStr">
        <is>
          <t>Organic Search</t>
        </is>
      </c>
      <c r="B29" s="6">
        <f>COUNTIF(Subscriptions!$H$2:$H$601,A29)</f>
        <v/>
      </c>
      <c r="C29" s="6">
        <f>SUMIFS(Subscriptions!$R$2:$R$601,Subscriptions!$H$2:$H$601,A29)</f>
        <v/>
      </c>
      <c r="D29" s="10">
        <f>C29/B29</f>
        <v/>
      </c>
    </row>
    <row r="30">
      <c r="A30" s="6" t="inlineStr">
        <is>
          <t>Direct Sales</t>
        </is>
      </c>
      <c r="B30" s="6">
        <f>COUNTIF(Subscriptions!$H$2:$H$601,A30)</f>
        <v/>
      </c>
      <c r="C30" s="6">
        <f>SUMIFS(Subscriptions!$R$2:$R$601,Subscriptions!$H$2:$H$601,A30)</f>
        <v/>
      </c>
      <c r="D30" s="10">
        <f>C30/B30</f>
        <v/>
      </c>
    </row>
    <row r="32">
      <c r="A32" s="3" t="inlineStr">
        <is>
          <t>Churn Rate by Company Size</t>
        </is>
      </c>
    </row>
    <row r="33">
      <c r="A33" s="5" t="inlineStr">
        <is>
          <t>Company Size</t>
        </is>
      </c>
      <c r="B33" s="5" t="inlineStr">
        <is>
          <t>Customers</t>
        </is>
      </c>
      <c r="C33" s="5" t="inlineStr">
        <is>
          <t>Churned</t>
        </is>
      </c>
      <c r="D33" s="5" t="inlineStr">
        <is>
          <t>Churn Rate</t>
        </is>
      </c>
    </row>
    <row r="34">
      <c r="A34" s="6" t="inlineStr">
        <is>
          <t>1-10</t>
        </is>
      </c>
      <c r="B34" s="6">
        <f>COUNTIF(Subscriptions!$E$2:$E$601,A34)</f>
        <v/>
      </c>
      <c r="C34" s="6">
        <f>SUMIFS(Subscriptions!$R$2:$R$601,Subscriptions!$E$2:$E$601,A34)</f>
        <v/>
      </c>
      <c r="D34" s="10">
        <f>C34/B34</f>
        <v/>
      </c>
    </row>
    <row r="35">
      <c r="A35" s="6" t="inlineStr">
        <is>
          <t>11-50</t>
        </is>
      </c>
      <c r="B35" s="6">
        <f>COUNTIF(Subscriptions!$E$2:$E$601,A35)</f>
        <v/>
      </c>
      <c r="C35" s="6">
        <f>SUMIFS(Subscriptions!$R$2:$R$601,Subscriptions!$E$2:$E$601,A35)</f>
        <v/>
      </c>
      <c r="D35" s="10">
        <f>C35/B35</f>
        <v/>
      </c>
    </row>
    <row r="36">
      <c r="A36" s="6" t="inlineStr">
        <is>
          <t>51-200</t>
        </is>
      </c>
      <c r="B36" s="6">
        <f>COUNTIF(Subscriptions!$E$2:$E$601,A36)</f>
        <v/>
      </c>
      <c r="C36" s="6">
        <f>SUMIFS(Subscriptions!$R$2:$R$601,Subscriptions!$E$2:$E$601,A36)</f>
        <v/>
      </c>
      <c r="D36" s="10">
        <f>C36/B36</f>
        <v/>
      </c>
    </row>
    <row r="37">
      <c r="A37" s="6" t="inlineStr">
        <is>
          <t>201-500</t>
        </is>
      </c>
      <c r="B37" s="6">
        <f>COUNTIF(Subscriptions!$E$2:$E$601,A37)</f>
        <v/>
      </c>
      <c r="C37" s="6">
        <f>SUMIFS(Subscriptions!$R$2:$R$601,Subscriptions!$E$2:$E$601,A37)</f>
        <v/>
      </c>
      <c r="D37" s="10">
        <f>C37/B37</f>
        <v/>
      </c>
    </row>
    <row r="38">
      <c r="A38" s="6" t="inlineStr">
        <is>
          <t>500+</t>
        </is>
      </c>
      <c r="B38" s="6">
        <f>COUNTIF(Subscriptions!$E$2:$E$601,A38)</f>
        <v/>
      </c>
      <c r="C38" s="6">
        <f>SUMIFS(Subscriptions!$R$2:$R$601,Subscriptions!$E$2:$E$601,A38)</f>
        <v/>
      </c>
      <c r="D38" s="10">
        <f>C38/B38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</cols>
  <sheetData>
    <row r="1">
      <c r="A1" s="1" t="inlineStr">
        <is>
          <t>Churn Reasons</t>
        </is>
      </c>
    </row>
    <row r="2">
      <c r="A2" s="2" t="inlineStr">
        <is>
          <t>Top reasons customers churn, overall and by plan. COUNTIFS formulas against the Subscriptions tab.</t>
        </is>
      </c>
    </row>
    <row r="4">
      <c r="A4" s="3" t="inlineStr">
        <is>
          <t>Overall Churn Reasons</t>
        </is>
      </c>
    </row>
    <row r="5">
      <c r="A5" s="5" t="inlineStr">
        <is>
          <t>Reason</t>
        </is>
      </c>
      <c r="B5" s="5" t="inlineStr">
        <is>
          <t>Churned Customers</t>
        </is>
      </c>
      <c r="C5" s="5" t="inlineStr">
        <is>
          <t>% of All Churn</t>
        </is>
      </c>
    </row>
    <row r="6">
      <c r="A6" s="6" t="inlineStr">
        <is>
          <t>Budget Cuts</t>
        </is>
      </c>
      <c r="B6" s="6">
        <f>COUNTIF(Subscriptions!$M$2:$M$601,A6)</f>
        <v/>
      </c>
      <c r="C6" s="10">
        <f>B6/SUM(Subscriptions!$R$2:$R$601)</f>
        <v/>
      </c>
    </row>
    <row r="7">
      <c r="A7" s="6" t="inlineStr">
        <is>
          <t>Price Too High</t>
        </is>
      </c>
      <c r="B7" s="6">
        <f>COUNTIF(Subscriptions!$M$2:$M$601,A7)</f>
        <v/>
      </c>
      <c r="C7" s="10">
        <f>B7/SUM(Subscriptions!$R$2:$R$601)</f>
        <v/>
      </c>
    </row>
    <row r="8">
      <c r="A8" s="6" t="inlineStr">
        <is>
          <t>Company Closed</t>
        </is>
      </c>
      <c r="B8" s="6">
        <f>COUNTIF(Subscriptions!$M$2:$M$601,A8)</f>
        <v/>
      </c>
      <c r="C8" s="10">
        <f>B8/SUM(Subscriptions!$R$2:$R$601)</f>
        <v/>
      </c>
    </row>
    <row r="9">
      <c r="A9" s="6" t="inlineStr">
        <is>
          <t>Poor Support</t>
        </is>
      </c>
      <c r="B9" s="6">
        <f>COUNTIF(Subscriptions!$M$2:$M$601,A9)</f>
        <v/>
      </c>
      <c r="C9" s="10">
        <f>B9/SUM(Subscriptions!$R$2:$R$601)</f>
        <v/>
      </c>
    </row>
    <row r="10">
      <c r="A10" s="6" t="inlineStr">
        <is>
          <t>No Longer Needed</t>
        </is>
      </c>
      <c r="B10" s="6">
        <f>COUNTIF(Subscriptions!$M$2:$M$601,A10)</f>
        <v/>
      </c>
      <c r="C10" s="10">
        <f>B10/SUM(Subscriptions!$R$2:$R$601)</f>
        <v/>
      </c>
    </row>
    <row r="11">
      <c r="A11" s="6" t="inlineStr">
        <is>
          <t>Missing Features</t>
        </is>
      </c>
      <c r="B11" s="6">
        <f>COUNTIF(Subscriptions!$M$2:$M$601,A11)</f>
        <v/>
      </c>
      <c r="C11" s="10">
        <f>B11/SUM(Subscriptions!$R$2:$R$601)</f>
        <v/>
      </c>
    </row>
    <row r="12">
      <c r="A12" s="6" t="inlineStr">
        <is>
          <t>Switched Competitor</t>
        </is>
      </c>
      <c r="B12" s="6">
        <f>COUNTIF(Subscriptions!$M$2:$M$601,A12)</f>
        <v/>
      </c>
      <c r="C12" s="10">
        <f>B12/SUM(Subscriptions!$R$2:$R$601)</f>
        <v/>
      </c>
    </row>
    <row r="14">
      <c r="A14" s="3" t="inlineStr">
        <is>
          <t>Reason Breakdown by Plan (count of churned customers)</t>
        </is>
      </c>
    </row>
    <row r="15">
      <c r="A15" s="5" t="inlineStr">
        <is>
          <t>Plan</t>
        </is>
      </c>
      <c r="B15" s="5" t="inlineStr">
        <is>
          <t>Budget Cuts</t>
        </is>
      </c>
      <c r="C15" s="5" t="inlineStr">
        <is>
          <t>Price Too High</t>
        </is>
      </c>
      <c r="D15" s="5" t="inlineStr">
        <is>
          <t>Company Closed</t>
        </is>
      </c>
      <c r="E15" s="5" t="inlineStr">
        <is>
          <t>Poor Support</t>
        </is>
      </c>
      <c r="F15" s="5" t="inlineStr">
        <is>
          <t>No Longer Needed</t>
        </is>
      </c>
      <c r="G15" s="5" t="inlineStr">
        <is>
          <t>Missing Features</t>
        </is>
      </c>
      <c r="H15" s="5" t="inlineStr">
        <is>
          <t>Switched Competitor</t>
        </is>
      </c>
    </row>
    <row r="16">
      <c r="A16" s="6" t="inlineStr">
        <is>
          <t>Starter</t>
        </is>
      </c>
      <c r="B16" s="6">
        <f>COUNTIFS(Subscriptions!$B$2:$B$601,$A16,Subscriptions!$M$2:$M$601,B$15)</f>
        <v/>
      </c>
      <c r="C16" s="6">
        <f>COUNTIFS(Subscriptions!$B$2:$B$601,$A16,Subscriptions!$M$2:$M$601,C$15)</f>
        <v/>
      </c>
      <c r="D16" s="6">
        <f>COUNTIFS(Subscriptions!$B$2:$B$601,$A16,Subscriptions!$M$2:$M$601,D$15)</f>
        <v/>
      </c>
      <c r="E16" s="6">
        <f>COUNTIFS(Subscriptions!$B$2:$B$601,$A16,Subscriptions!$M$2:$M$601,E$15)</f>
        <v/>
      </c>
      <c r="F16" s="6">
        <f>COUNTIFS(Subscriptions!$B$2:$B$601,$A16,Subscriptions!$M$2:$M$601,F$15)</f>
        <v/>
      </c>
      <c r="G16" s="6">
        <f>COUNTIFS(Subscriptions!$B$2:$B$601,$A16,Subscriptions!$M$2:$M$601,G$15)</f>
        <v/>
      </c>
      <c r="H16" s="6">
        <f>COUNTIFS(Subscriptions!$B$2:$B$601,$A16,Subscriptions!$M$2:$M$601,H$15)</f>
        <v/>
      </c>
    </row>
    <row r="17">
      <c r="A17" s="6" t="inlineStr">
        <is>
          <t>Professional</t>
        </is>
      </c>
      <c r="B17" s="6">
        <f>COUNTIFS(Subscriptions!$B$2:$B$601,$A17,Subscriptions!$M$2:$M$601,B$15)</f>
        <v/>
      </c>
      <c r="C17" s="6">
        <f>COUNTIFS(Subscriptions!$B$2:$B$601,$A17,Subscriptions!$M$2:$M$601,C$15)</f>
        <v/>
      </c>
      <c r="D17" s="6">
        <f>COUNTIFS(Subscriptions!$B$2:$B$601,$A17,Subscriptions!$M$2:$M$601,D$15)</f>
        <v/>
      </c>
      <c r="E17" s="6">
        <f>COUNTIFS(Subscriptions!$B$2:$B$601,$A17,Subscriptions!$M$2:$M$601,E$15)</f>
        <v/>
      </c>
      <c r="F17" s="6">
        <f>COUNTIFS(Subscriptions!$B$2:$B$601,$A17,Subscriptions!$M$2:$M$601,F$15)</f>
        <v/>
      </c>
      <c r="G17" s="6">
        <f>COUNTIFS(Subscriptions!$B$2:$B$601,$A17,Subscriptions!$M$2:$M$601,G$15)</f>
        <v/>
      </c>
      <c r="H17" s="6">
        <f>COUNTIFS(Subscriptions!$B$2:$B$601,$A17,Subscriptions!$M$2:$M$601,H$15)</f>
        <v/>
      </c>
    </row>
    <row r="18">
      <c r="A18" s="6" t="inlineStr">
        <is>
          <t>Business</t>
        </is>
      </c>
      <c r="B18" s="6">
        <f>COUNTIFS(Subscriptions!$B$2:$B$601,$A18,Subscriptions!$M$2:$M$601,B$15)</f>
        <v/>
      </c>
      <c r="C18" s="6">
        <f>COUNTIFS(Subscriptions!$B$2:$B$601,$A18,Subscriptions!$M$2:$M$601,C$15)</f>
        <v/>
      </c>
      <c r="D18" s="6">
        <f>COUNTIFS(Subscriptions!$B$2:$B$601,$A18,Subscriptions!$M$2:$M$601,D$15)</f>
        <v/>
      </c>
      <c r="E18" s="6">
        <f>COUNTIFS(Subscriptions!$B$2:$B$601,$A18,Subscriptions!$M$2:$M$601,E$15)</f>
        <v/>
      </c>
      <c r="F18" s="6">
        <f>COUNTIFS(Subscriptions!$B$2:$B$601,$A18,Subscriptions!$M$2:$M$601,F$15)</f>
        <v/>
      </c>
      <c r="G18" s="6">
        <f>COUNTIFS(Subscriptions!$B$2:$B$601,$A18,Subscriptions!$M$2:$M$601,G$15)</f>
        <v/>
      </c>
      <c r="H18" s="6">
        <f>COUNTIFS(Subscriptions!$B$2:$B$601,$A18,Subscriptions!$M$2:$M$601,H$15)</f>
        <v/>
      </c>
    </row>
    <row r="19">
      <c r="A19" s="6" t="inlineStr">
        <is>
          <t>Enterprise</t>
        </is>
      </c>
      <c r="B19" s="6">
        <f>COUNTIFS(Subscriptions!$B$2:$B$601,$A19,Subscriptions!$M$2:$M$601,B$15)</f>
        <v/>
      </c>
      <c r="C19" s="6">
        <f>COUNTIFS(Subscriptions!$B$2:$B$601,$A19,Subscriptions!$M$2:$M$601,C$15)</f>
        <v/>
      </c>
      <c r="D19" s="6">
        <f>COUNTIFS(Subscriptions!$B$2:$B$601,$A19,Subscriptions!$M$2:$M$601,D$15)</f>
        <v/>
      </c>
      <c r="E19" s="6">
        <f>COUNTIFS(Subscriptions!$B$2:$B$601,$A19,Subscriptions!$M$2:$M$601,E$15)</f>
        <v/>
      </c>
      <c r="F19" s="6">
        <f>COUNTIFS(Subscriptions!$B$2:$B$601,$A19,Subscriptions!$M$2:$M$601,F$15)</f>
        <v/>
      </c>
      <c r="G19" s="6">
        <f>COUNTIFS(Subscriptions!$B$2:$B$601,$A19,Subscriptions!$M$2:$M$601,G$15)</f>
        <v/>
      </c>
      <c r="H19" s="6">
        <f>COUNTIFS(Subscriptions!$B$2:$B$601,$A19,Subscriptions!$M$2:$M$601,H$15)</f>
        <v/>
      </c>
    </row>
    <row r="21">
      <c r="A21" s="3" t="inlineStr">
        <is>
          <t>Top Reason by Plan</t>
        </is>
      </c>
    </row>
    <row r="22">
      <c r="A22" s="5" t="inlineStr">
        <is>
          <t>Plan</t>
        </is>
      </c>
      <c r="B22" s="5" t="inlineStr">
        <is>
          <t>Top Reason</t>
        </is>
      </c>
      <c r="C22" s="5" t="inlineStr">
        <is>
          <t>Count</t>
        </is>
      </c>
    </row>
    <row r="23">
      <c r="A23" s="6" t="inlineStr">
        <is>
          <t>Starter</t>
        </is>
      </c>
      <c r="B23" s="6">
        <f>INDEX($B$15:$H$15,MATCH(MAX(B16:H16),B16:H16,0))</f>
        <v/>
      </c>
      <c r="C23" s="6">
        <f>MAX(B16:H16)</f>
        <v/>
      </c>
    </row>
    <row r="24">
      <c r="A24" s="6" t="inlineStr">
        <is>
          <t>Professional</t>
        </is>
      </c>
      <c r="B24" s="6">
        <f>INDEX($B$15:$H$15,MATCH(MAX(B17:H17),B17:H17,0))</f>
        <v/>
      </c>
      <c r="C24" s="6">
        <f>MAX(B17:H17)</f>
        <v/>
      </c>
    </row>
    <row r="25">
      <c r="A25" s="6" t="inlineStr">
        <is>
          <t>Business</t>
        </is>
      </c>
      <c r="B25" s="6">
        <f>INDEX($B$15:$H$15,MATCH(MAX(B18:H18),B18:H18,0))</f>
        <v/>
      </c>
      <c r="C25" s="6">
        <f>MAX(B18:H18)</f>
        <v/>
      </c>
    </row>
    <row r="26">
      <c r="A26" s="6" t="inlineStr">
        <is>
          <t>Enterprise</t>
        </is>
      </c>
      <c r="B26" s="6">
        <f>INDEX($B$15:$H$15,MATCH(MAX(B19:H19),B19:H19,0))</f>
        <v/>
      </c>
      <c r="C26" s="6">
        <f>MAX(B19:H19)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Unit Economics</t>
        </is>
      </c>
    </row>
    <row r="2">
      <c r="A2" s="2" t="inlineStr">
        <is>
          <t>Average CLV by plan vs. blended CAC. CAC is a single company-wide figure -- the source data doesn't split acquisition cost by plan, so the same blended CAC is compared against every plan's CLV (see the note below).</t>
        </is>
      </c>
    </row>
    <row r="4">
      <c r="A4" s="3" t="inlineStr">
        <is>
          <t>Blended CAC (weighted by customers acquired per month)</t>
        </is>
      </c>
    </row>
    <row r="5">
      <c r="A5" s="6" t="inlineStr">
        <is>
          <t>Blended CAC</t>
        </is>
      </c>
      <c r="B5" s="12">
        <f>SUMPRODUCT('Monthly Revenue'!$C$2:$C$49,'Monthly Revenue'!$H$2:$H$49)/SUM('Monthly Revenue'!$C$2:$C$49)</f>
        <v/>
      </c>
    </row>
    <row r="7">
      <c r="A7" s="3" t="inlineStr">
        <is>
          <t>CLV by Plan</t>
        </is>
      </c>
    </row>
    <row r="8">
      <c r="A8" s="5" t="inlineStr">
        <is>
          <t>Plan</t>
        </is>
      </c>
      <c r="B8" s="5" t="inlineStr">
        <is>
          <t>Avg MRR</t>
        </is>
      </c>
      <c r="C8" s="5" t="inlineStr">
        <is>
          <t>Avg Lifespan (months)</t>
        </is>
      </c>
      <c r="D8" s="5" t="inlineStr">
        <is>
          <t>Avg CLV</t>
        </is>
      </c>
      <c r="E8" s="5" t="inlineStr">
        <is>
          <t>Blended CAC</t>
        </is>
      </c>
      <c r="F8" s="5" t="inlineStr">
        <is>
          <t>CLV : CAC Ratio</t>
        </is>
      </c>
    </row>
    <row r="9">
      <c r="A9" s="6" t="inlineStr">
        <is>
          <t>Starter</t>
        </is>
      </c>
      <c r="B9" s="11">
        <f>AVERAGEIF(Subscriptions!$B$2:$B$601,A9,Subscriptions!$G$2:$G$601)</f>
        <v/>
      </c>
      <c r="C9" s="13">
        <f>AVERAGEIF(Subscriptions!$B$2:$B$601,A9,Subscriptions!$T$2:$T$601)</f>
        <v/>
      </c>
      <c r="D9" s="11">
        <f>B9*C9</f>
        <v/>
      </c>
      <c r="E9" s="12">
        <f>$B$5</f>
        <v/>
      </c>
      <c r="F9" s="14">
        <f>D9/E9</f>
        <v/>
      </c>
    </row>
    <row r="10">
      <c r="A10" s="6" t="inlineStr">
        <is>
          <t>Professional</t>
        </is>
      </c>
      <c r="B10" s="11">
        <f>AVERAGEIF(Subscriptions!$B$2:$B$601,A10,Subscriptions!$G$2:$G$601)</f>
        <v/>
      </c>
      <c r="C10" s="13">
        <f>AVERAGEIF(Subscriptions!$B$2:$B$601,A10,Subscriptions!$T$2:$T$601)</f>
        <v/>
      </c>
      <c r="D10" s="11">
        <f>B10*C10</f>
        <v/>
      </c>
      <c r="E10" s="12">
        <f>$B$5</f>
        <v/>
      </c>
      <c r="F10" s="14">
        <f>D10/E10</f>
        <v/>
      </c>
    </row>
    <row r="11">
      <c r="A11" s="6" t="inlineStr">
        <is>
          <t>Business</t>
        </is>
      </c>
      <c r="B11" s="11">
        <f>AVERAGEIF(Subscriptions!$B$2:$B$601,A11,Subscriptions!$G$2:$G$601)</f>
        <v/>
      </c>
      <c r="C11" s="13">
        <f>AVERAGEIF(Subscriptions!$B$2:$B$601,A11,Subscriptions!$T$2:$T$601)</f>
        <v/>
      </c>
      <c r="D11" s="11">
        <f>B11*C11</f>
        <v/>
      </c>
      <c r="E11" s="12">
        <f>$B$5</f>
        <v/>
      </c>
      <c r="F11" s="14">
        <f>D11/E11</f>
        <v/>
      </c>
    </row>
    <row r="12">
      <c r="A12" s="6" t="inlineStr">
        <is>
          <t>Enterprise</t>
        </is>
      </c>
      <c r="B12" s="11">
        <f>AVERAGEIF(Subscriptions!$B$2:$B$601,A12,Subscriptions!$G$2:$G$601)</f>
        <v/>
      </c>
      <c r="C12" s="13">
        <f>AVERAGEIF(Subscriptions!$B$2:$B$601,A12,Subscriptions!$T$2:$T$601)</f>
        <v/>
      </c>
      <c r="D12" s="11">
        <f>B12*C12</f>
        <v/>
      </c>
      <c r="E12" s="12">
        <f>$B$5</f>
        <v/>
      </c>
      <c r="F12" s="14">
        <f>D12/E12</f>
        <v/>
      </c>
    </row>
    <row r="14" ht="45" customHeight="1">
      <c r="A14" s="15" t="inlineStr">
        <is>
          <t>Note: a ratio below 3x is the usual red flag in SaaS unit economics; below 1x means the plan loses money on acquisition alone. All four plans clear that bar comfortably here because CAC is low relative to plan MRR -- Starter's concern is its short average lifespan and low CLV in absolute dollars, not CAC efficiency.</t>
        </is>
      </c>
    </row>
  </sheetData>
  <mergeCells count="1">
    <mergeCell ref="A14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2" customWidth="1" min="4" max="4"/>
    <col width="8" customWidth="1" min="5" max="5"/>
    <col width="16" customWidth="1" min="6" max="6"/>
    <col width="20" customWidth="1" min="7" max="7"/>
  </cols>
  <sheetData>
    <row r="1">
      <c r="A1" s="1" t="inlineStr">
        <is>
          <t>At-Risk Customers</t>
        </is>
      </c>
    </row>
    <row r="2">
      <c r="A2" s="2" t="inlineStr">
        <is>
          <t>Relationship between feature usage, NPS, and churn, and the current at-risk customer list. Threshold cells (yellow) live on the Subscriptions tab and drive the Is At Risk column used everywhere below.</t>
        </is>
      </c>
    </row>
    <row r="4">
      <c r="A4" s="3" t="inlineStr">
        <is>
          <t>Churned vs. Active — average usage, NPS, support tickets</t>
        </is>
      </c>
    </row>
    <row r="5">
      <c r="A5" s="5" t="inlineStr">
        <is>
          <t>Status</t>
        </is>
      </c>
      <c r="B5" s="5" t="inlineStr">
        <is>
          <t>Avg Feature Usage %</t>
        </is>
      </c>
      <c r="C5" s="5" t="inlineStr">
        <is>
          <t>Avg NPS</t>
        </is>
      </c>
      <c r="D5" s="5" t="inlineStr">
        <is>
          <t>Avg Support Tickets (12mo)</t>
        </is>
      </c>
    </row>
    <row r="6">
      <c r="A6" s="6" t="inlineStr">
        <is>
          <t>Active</t>
        </is>
      </c>
      <c r="B6" s="13">
        <f>AVERAGEIF(Subscriptions!$K$2:$K$601,"No",Subscriptions!$P$2:$P$601)</f>
        <v/>
      </c>
      <c r="C6" s="13">
        <f>AVERAGEIF(Subscriptions!$K$2:$K$601,"No",Subscriptions!$O$2:$O$601)</f>
        <v/>
      </c>
      <c r="D6" s="13">
        <f>AVERAGEIF(Subscriptions!$K$2:$K$601,"No",Subscriptions!$N$2:$N$601)</f>
        <v/>
      </c>
    </row>
    <row r="7">
      <c r="A7" s="6" t="inlineStr">
        <is>
          <t>Churned</t>
        </is>
      </c>
      <c r="B7" s="13">
        <f>AVERAGEIF(Subscriptions!$K$2:$K$601,"Yes",Subscriptions!$P$2:$P$601)</f>
        <v/>
      </c>
      <c r="C7" s="13">
        <f>AVERAGEIF(Subscriptions!$K$2:$K$601,"Yes",Subscriptions!$O$2:$O$601)</f>
        <v/>
      </c>
      <c r="D7" s="13">
        <f>AVERAGEIF(Subscriptions!$K$2:$K$601,"Yes",Subscriptions!$N$2:$N$601)</f>
        <v/>
      </c>
    </row>
    <row r="9">
      <c r="A9" s="3" t="inlineStr">
        <is>
          <t>Current At-Risk Base (active customers only)</t>
        </is>
      </c>
    </row>
    <row r="10">
      <c r="A10" s="5" t="inlineStr">
        <is>
          <t>Metric</t>
        </is>
      </c>
      <c r="B10" s="5" t="inlineStr">
        <is>
          <t>Value</t>
        </is>
      </c>
    </row>
    <row r="11">
      <c r="A11" s="6" t="inlineStr">
        <is>
          <t>Active customers</t>
        </is>
      </c>
      <c r="B11" s="6">
        <f>SUM(Subscriptions!$S$2:$S$601)</f>
        <v/>
      </c>
    </row>
    <row r="12">
      <c r="A12" s="6" t="inlineStr">
        <is>
          <t>At-risk active customers</t>
        </is>
      </c>
      <c r="B12" s="6">
        <f>SUMIFS(Subscriptions!$U$2:$U$601,Subscriptions!$S$2:$S$601,1)</f>
        <v/>
      </c>
    </row>
    <row r="13">
      <c r="A13" s="6" t="inlineStr">
        <is>
          <t>% of active base at risk</t>
        </is>
      </c>
      <c r="B13" s="10">
        <f>B12/B11</f>
        <v/>
      </c>
    </row>
    <row r="14">
      <c r="A14" s="6" t="inlineStr">
        <is>
          <t>At-risk MRR</t>
        </is>
      </c>
      <c r="B14" s="11">
        <f>SUMIFS(Subscriptions!$G$2:$G$601,Subscriptions!$U$2:$U$601,1,Subscriptions!$S$2:$S$601,1)</f>
        <v/>
      </c>
    </row>
    <row r="16">
      <c r="A16" s="3" t="inlineStr">
        <is>
          <t>At-Risk Customers by Plan</t>
        </is>
      </c>
    </row>
    <row r="17">
      <c r="A17" s="5" t="inlineStr">
        <is>
          <t>Plan</t>
        </is>
      </c>
      <c r="B17" s="5" t="inlineStr">
        <is>
          <t>Active Customers</t>
        </is>
      </c>
      <c r="C17" s="5" t="inlineStr">
        <is>
          <t>At-Risk Customers</t>
        </is>
      </c>
      <c r="D17" s="5" t="inlineStr">
        <is>
          <t>% At Risk</t>
        </is>
      </c>
    </row>
    <row r="18">
      <c r="A18" s="6" t="inlineStr">
        <is>
          <t>Starter</t>
        </is>
      </c>
      <c r="B18" s="6">
        <f>COUNTIFS(Subscriptions!$B$2:$B$601,A18,Subscriptions!$S$2:$S$601,1)</f>
        <v/>
      </c>
      <c r="C18" s="6">
        <f>SUMIFS(Subscriptions!$U$2:$U$601,Subscriptions!$B$2:$B$601,A18,Subscriptions!$S$2:$S$601,1)</f>
        <v/>
      </c>
      <c r="D18" s="10">
        <f>C18/B18</f>
        <v/>
      </c>
    </row>
    <row r="19">
      <c r="A19" s="6" t="inlineStr">
        <is>
          <t>Professional</t>
        </is>
      </c>
      <c r="B19" s="6">
        <f>COUNTIFS(Subscriptions!$B$2:$B$601,A19,Subscriptions!$S$2:$S$601,1)</f>
        <v/>
      </c>
      <c r="C19" s="6">
        <f>SUMIFS(Subscriptions!$U$2:$U$601,Subscriptions!$B$2:$B$601,A19,Subscriptions!$S$2:$S$601,1)</f>
        <v/>
      </c>
      <c r="D19" s="10">
        <f>C19/B19</f>
        <v/>
      </c>
    </row>
    <row r="20">
      <c r="A20" s="6" t="inlineStr">
        <is>
          <t>Business</t>
        </is>
      </c>
      <c r="B20" s="6">
        <f>COUNTIFS(Subscriptions!$B$2:$B$601,A20,Subscriptions!$S$2:$S$601,1)</f>
        <v/>
      </c>
      <c r="C20" s="6">
        <f>SUMIFS(Subscriptions!$U$2:$U$601,Subscriptions!$B$2:$B$601,A20,Subscriptions!$S$2:$S$601,1)</f>
        <v/>
      </c>
      <c r="D20" s="10">
        <f>C20/B20</f>
        <v/>
      </c>
    </row>
    <row r="21">
      <c r="A21" s="6" t="inlineStr">
        <is>
          <t>Enterprise</t>
        </is>
      </c>
      <c r="B21" s="6">
        <f>COUNTIFS(Subscriptions!$B$2:$B$601,A21,Subscriptions!$S$2:$S$601,1)</f>
        <v/>
      </c>
      <c r="C21" s="6">
        <f>SUMIFS(Subscriptions!$U$2:$U$601,Subscriptions!$B$2:$B$601,A21,Subscriptions!$S$2:$S$601,1)</f>
        <v/>
      </c>
      <c r="D21" s="10">
        <f>C21/B21</f>
        <v/>
      </c>
    </row>
    <row r="24">
      <c r="A24" s="3" t="inlineStr">
        <is>
          <t>Current At-Risk Customer List (for CS outreach)</t>
        </is>
      </c>
    </row>
    <row r="25" ht="30" customHeight="1">
      <c r="A25" s="15" t="inlineStr">
        <is>
          <t>Filtered from Subscriptions: Is Active = 1 AND Is At Risk = 1, sorted by MRR descending. Re-derive this list (Data &gt; Filter on the Subscriptions tab) after refreshing the raw data -- it's a snapshot, not a live spill formula.</t>
        </is>
      </c>
    </row>
    <row r="26">
      <c r="A26" s="5" t="inlineStr">
        <is>
          <t>Customer ID</t>
        </is>
      </c>
      <c r="B26" s="5" t="inlineStr">
        <is>
          <t>Plan</t>
        </is>
      </c>
      <c r="C26" s="5" t="inlineStr">
        <is>
          <t>Company Size</t>
        </is>
      </c>
      <c r="D26" s="5" t="inlineStr">
        <is>
          <t>MRR</t>
        </is>
      </c>
      <c r="E26" s="5" t="inlineStr">
        <is>
          <t>NPS</t>
        </is>
      </c>
      <c r="F26" s="5" t="inlineStr">
        <is>
          <t>Feature Usage %</t>
        </is>
      </c>
      <c r="G26" s="5" t="inlineStr">
        <is>
          <t>Acquisition Channel</t>
        </is>
      </c>
    </row>
    <row r="27">
      <c r="A27" s="6" t="inlineStr">
        <is>
          <t>CUST-0211</t>
        </is>
      </c>
      <c r="B27" s="6" t="inlineStr">
        <is>
          <t>Enterprise</t>
        </is>
      </c>
      <c r="C27" s="6" t="inlineStr">
        <is>
          <t>201-500</t>
        </is>
      </c>
      <c r="D27" s="12" t="n">
        <v>3414.41</v>
      </c>
      <c r="E27" s="6" t="n">
        <v>2</v>
      </c>
      <c r="F27" s="6" t="n">
        <v>23</v>
      </c>
      <c r="G27" s="6" t="inlineStr">
        <is>
          <t>Paid Ads</t>
        </is>
      </c>
    </row>
    <row r="28">
      <c r="A28" s="6" t="inlineStr">
        <is>
          <t>CUST-0097</t>
        </is>
      </c>
      <c r="B28" s="6" t="inlineStr">
        <is>
          <t>Enterprise</t>
        </is>
      </c>
      <c r="C28" s="6" t="inlineStr">
        <is>
          <t>51-200</t>
        </is>
      </c>
      <c r="D28" s="12" t="n">
        <v>2744.5</v>
      </c>
      <c r="E28" s="6" t="n">
        <v>1</v>
      </c>
      <c r="F28" s="6" t="n">
        <v>22</v>
      </c>
      <c r="G28" s="6" t="inlineStr">
        <is>
          <t>Organic Search</t>
        </is>
      </c>
    </row>
    <row r="29">
      <c r="A29" s="6" t="inlineStr">
        <is>
          <t>CUST-0530</t>
        </is>
      </c>
      <c r="B29" s="6" t="inlineStr">
        <is>
          <t>Enterprise</t>
        </is>
      </c>
      <c r="C29" s="6" t="inlineStr">
        <is>
          <t>11-50</t>
        </is>
      </c>
      <c r="D29" s="12" t="n">
        <v>2744.5</v>
      </c>
      <c r="E29" s="6" t="n">
        <v>3</v>
      </c>
      <c r="F29" s="6" t="n">
        <v>15</v>
      </c>
      <c r="G29" s="6" t="inlineStr">
        <is>
          <t>Partner</t>
        </is>
      </c>
    </row>
    <row r="30">
      <c r="A30" s="6" t="inlineStr">
        <is>
          <t>CUST-0458</t>
        </is>
      </c>
      <c r="B30" s="6" t="inlineStr">
        <is>
          <t>Business</t>
        </is>
      </c>
      <c r="C30" s="6" t="inlineStr">
        <is>
          <t>201-500</t>
        </is>
      </c>
      <c r="D30" s="12" t="n">
        <v>1995.97</v>
      </c>
      <c r="E30" s="6" t="n">
        <v>1</v>
      </c>
      <c r="F30" s="6" t="n">
        <v>15</v>
      </c>
      <c r="G30" s="6" t="inlineStr">
        <is>
          <t>Referral</t>
        </is>
      </c>
    </row>
    <row r="31">
      <c r="A31" s="6" t="inlineStr">
        <is>
          <t>CUST-0516</t>
        </is>
      </c>
      <c r="B31" s="6" t="inlineStr">
        <is>
          <t>Business</t>
        </is>
      </c>
      <c r="C31" s="6" t="inlineStr">
        <is>
          <t>51-200</t>
        </is>
      </c>
      <c r="D31" s="12" t="n">
        <v>1422.85</v>
      </c>
      <c r="E31" s="6" t="n">
        <v>2</v>
      </c>
      <c r="F31" s="6" t="n">
        <v>17</v>
      </c>
      <c r="G31" s="6" t="inlineStr">
        <is>
          <t>Partner</t>
        </is>
      </c>
    </row>
    <row r="32">
      <c r="A32" s="6" t="inlineStr">
        <is>
          <t>CUST-0079</t>
        </is>
      </c>
      <c r="B32" s="6" t="inlineStr">
        <is>
          <t>Business</t>
        </is>
      </c>
      <c r="C32" s="6" t="inlineStr">
        <is>
          <t>51-200</t>
        </is>
      </c>
      <c r="D32" s="12" t="n">
        <v>1363.15</v>
      </c>
      <c r="E32" s="6" t="n">
        <v>4</v>
      </c>
      <c r="F32" s="6" t="n">
        <v>29</v>
      </c>
      <c r="G32" s="6" t="inlineStr">
        <is>
          <t>Social Media</t>
        </is>
      </c>
    </row>
    <row r="33">
      <c r="A33" s="6" t="inlineStr">
        <is>
          <t>CUST-0570</t>
        </is>
      </c>
      <c r="B33" s="6" t="inlineStr">
        <is>
          <t>Business</t>
        </is>
      </c>
      <c r="C33" s="6" t="inlineStr">
        <is>
          <t>11-50</t>
        </is>
      </c>
      <c r="D33" s="12" t="n">
        <v>727.34</v>
      </c>
      <c r="E33" s="6" t="n">
        <v>5</v>
      </c>
      <c r="F33" s="6" t="n">
        <v>19</v>
      </c>
      <c r="G33" s="6" t="inlineStr">
        <is>
          <t>Organic Search</t>
        </is>
      </c>
    </row>
    <row r="34">
      <c r="A34" s="6" t="inlineStr">
        <is>
          <t>CUST-0100</t>
        </is>
      </c>
      <c r="B34" s="6" t="inlineStr">
        <is>
          <t>Business</t>
        </is>
      </c>
      <c r="C34" s="6" t="inlineStr">
        <is>
          <t>11-50</t>
        </is>
      </c>
      <c r="D34" s="12" t="n">
        <v>676.6</v>
      </c>
      <c r="E34" s="6" t="n">
        <v>4</v>
      </c>
      <c r="F34" s="6" t="n">
        <v>17</v>
      </c>
      <c r="G34" s="6" t="inlineStr">
        <is>
          <t>Paid Ads</t>
        </is>
      </c>
    </row>
    <row r="35">
      <c r="A35" s="6" t="inlineStr">
        <is>
          <t>CUST-0544</t>
        </is>
      </c>
      <c r="B35" s="6" t="inlineStr">
        <is>
          <t>Business</t>
        </is>
      </c>
      <c r="C35" s="6" t="inlineStr">
        <is>
          <t>11-50</t>
        </is>
      </c>
      <c r="D35" s="12" t="n">
        <v>549.74</v>
      </c>
      <c r="E35" s="6" t="n">
        <v>3</v>
      </c>
      <c r="F35" s="6" t="n">
        <v>25</v>
      </c>
      <c r="G35" s="6" t="inlineStr">
        <is>
          <t>Referral</t>
        </is>
      </c>
    </row>
    <row r="36">
      <c r="A36" s="6" t="inlineStr">
        <is>
          <t>CUST-0405</t>
        </is>
      </c>
      <c r="B36" s="6" t="inlineStr">
        <is>
          <t>Business</t>
        </is>
      </c>
      <c r="C36" s="6" t="inlineStr">
        <is>
          <t>11-50</t>
        </is>
      </c>
      <c r="D36" s="12" t="n">
        <v>378.1</v>
      </c>
      <c r="E36" s="6" t="n">
        <v>1</v>
      </c>
      <c r="F36" s="6" t="n">
        <v>29</v>
      </c>
      <c r="G36" s="6" t="inlineStr">
        <is>
          <t>Paid Ads</t>
        </is>
      </c>
    </row>
    <row r="37">
      <c r="A37" s="6" t="inlineStr">
        <is>
          <t>CUST-0591</t>
        </is>
      </c>
      <c r="B37" s="6" t="inlineStr">
        <is>
          <t>Business</t>
        </is>
      </c>
      <c r="C37" s="6" t="inlineStr">
        <is>
          <t>11-50</t>
        </is>
      </c>
      <c r="D37" s="12" t="n">
        <v>348.25</v>
      </c>
      <c r="E37" s="6" t="n">
        <v>2</v>
      </c>
      <c r="F37" s="6" t="n">
        <v>27</v>
      </c>
      <c r="G37" s="6" t="inlineStr">
        <is>
          <t>Organic Search</t>
        </is>
      </c>
    </row>
    <row r="38">
      <c r="A38" s="6" t="inlineStr">
        <is>
          <t>CUST-0313</t>
        </is>
      </c>
      <c r="B38" s="6" t="inlineStr">
        <is>
          <t>Starter</t>
        </is>
      </c>
      <c r="C38" s="6" t="inlineStr">
        <is>
          <t>51-200</t>
        </is>
      </c>
      <c r="D38" s="12" t="n">
        <v>346.55</v>
      </c>
      <c r="E38" s="6" t="n">
        <v>4</v>
      </c>
      <c r="F38" s="6" t="n">
        <v>18</v>
      </c>
      <c r="G38" s="6" t="inlineStr">
        <is>
          <t>Organic Search</t>
        </is>
      </c>
    </row>
    <row r="39">
      <c r="A39" s="6" t="inlineStr">
        <is>
          <t>CUST-0116</t>
        </is>
      </c>
      <c r="B39" s="6" t="inlineStr">
        <is>
          <t>Professional</t>
        </is>
      </c>
      <c r="C39" s="6" t="inlineStr">
        <is>
          <t>51-200</t>
        </is>
      </c>
      <c r="D39" s="12" t="n">
        <v>256.75</v>
      </c>
      <c r="E39" s="6" t="n">
        <v>2</v>
      </c>
      <c r="F39" s="6" t="n">
        <v>25</v>
      </c>
      <c r="G39" s="6" t="inlineStr">
        <is>
          <t>Organic Search</t>
        </is>
      </c>
    </row>
    <row r="40">
      <c r="A40" s="6" t="inlineStr">
        <is>
          <t>CUST-0394</t>
        </is>
      </c>
      <c r="B40" s="6" t="inlineStr">
        <is>
          <t>Professional</t>
        </is>
      </c>
      <c r="C40" s="6" t="inlineStr">
        <is>
          <t>11-50</t>
        </is>
      </c>
      <c r="D40" s="12" t="n">
        <v>248.46</v>
      </c>
      <c r="E40" s="6" t="n">
        <v>6</v>
      </c>
      <c r="F40" s="6" t="n">
        <v>23</v>
      </c>
      <c r="G40" s="6" t="inlineStr">
        <is>
          <t>Organic Search</t>
        </is>
      </c>
    </row>
    <row r="41">
      <c r="A41" s="6" t="inlineStr">
        <is>
          <t>CUST-0347</t>
        </is>
      </c>
      <c r="B41" s="6" t="inlineStr">
        <is>
          <t>Professional</t>
        </is>
      </c>
      <c r="C41" s="6" t="inlineStr">
        <is>
          <t>51-200</t>
        </is>
      </c>
      <c r="D41" s="12" t="n">
        <v>228.31</v>
      </c>
      <c r="E41" s="6" t="n">
        <v>4</v>
      </c>
      <c r="F41" s="6" t="n">
        <v>21</v>
      </c>
      <c r="G41" s="6" t="inlineStr">
        <is>
          <t>Organic Search</t>
        </is>
      </c>
    </row>
    <row r="42">
      <c r="A42" s="6" t="inlineStr">
        <is>
          <t>CUST-0476</t>
        </is>
      </c>
      <c r="B42" s="6" t="inlineStr">
        <is>
          <t>Professional</t>
        </is>
      </c>
      <c r="C42" s="6" t="inlineStr">
        <is>
          <t>1-10</t>
        </is>
      </c>
      <c r="D42" s="12" t="n">
        <v>77.22</v>
      </c>
      <c r="E42" s="6" t="n">
        <v>3</v>
      </c>
      <c r="F42" s="6" t="n">
        <v>15</v>
      </c>
      <c r="G42" s="6" t="inlineStr">
        <is>
          <t>Organic Search</t>
        </is>
      </c>
    </row>
    <row r="43">
      <c r="A43" s="6" t="inlineStr">
        <is>
          <t>CUST-0120</t>
        </is>
      </c>
      <c r="B43" s="6" t="inlineStr">
        <is>
          <t>Professional</t>
        </is>
      </c>
      <c r="C43" s="6" t="inlineStr">
        <is>
          <t>1-10</t>
        </is>
      </c>
      <c r="D43" s="12" t="n">
        <v>77.22</v>
      </c>
      <c r="E43" s="6" t="n">
        <v>4</v>
      </c>
      <c r="F43" s="6" t="n">
        <v>22</v>
      </c>
      <c r="G43" s="6" t="inlineStr">
        <is>
          <t>Partner</t>
        </is>
      </c>
    </row>
    <row r="44">
      <c r="A44" s="6" t="inlineStr">
        <is>
          <t>CUST-0428</t>
        </is>
      </c>
      <c r="B44" s="6" t="inlineStr">
        <is>
          <t>Starter</t>
        </is>
      </c>
      <c r="C44" s="6" t="inlineStr">
        <is>
          <t>11-50</t>
        </is>
      </c>
      <c r="D44" s="12" t="n">
        <v>72.5</v>
      </c>
      <c r="E44" s="6" t="n">
        <v>4</v>
      </c>
      <c r="F44" s="6" t="n">
        <v>24</v>
      </c>
      <c r="G44" s="6" t="inlineStr">
        <is>
          <t>Organic Search</t>
        </is>
      </c>
    </row>
    <row r="45">
      <c r="A45" s="6" t="inlineStr">
        <is>
          <t>CUST-0068</t>
        </is>
      </c>
      <c r="B45" s="6" t="inlineStr">
        <is>
          <t>Professional</t>
        </is>
      </c>
      <c r="C45" s="6" t="inlineStr">
        <is>
          <t>1-10</t>
        </is>
      </c>
      <c r="D45" s="12" t="n">
        <v>67.15000000000001</v>
      </c>
      <c r="E45" s="6" t="n">
        <v>3</v>
      </c>
      <c r="F45" s="6" t="n">
        <v>29</v>
      </c>
      <c r="G45" s="6" t="inlineStr">
        <is>
          <t>Referral</t>
        </is>
      </c>
    </row>
    <row r="46">
      <c r="A46" s="6" t="inlineStr">
        <is>
          <t>CUST-0552</t>
        </is>
      </c>
      <c r="B46" s="6" t="inlineStr">
        <is>
          <t>Starter</t>
        </is>
      </c>
      <c r="C46" s="6" t="inlineStr">
        <is>
          <t>11-50</t>
        </is>
      </c>
      <c r="D46" s="12" t="n">
        <v>63.8</v>
      </c>
      <c r="E46" s="6" t="n">
        <v>3</v>
      </c>
      <c r="F46" s="6" t="n">
        <v>22</v>
      </c>
      <c r="G46" s="6" t="inlineStr">
        <is>
          <t>Direct Sales</t>
        </is>
      </c>
    </row>
    <row r="47">
      <c r="A47" s="6" t="inlineStr">
        <is>
          <t>CUST-0314</t>
        </is>
      </c>
      <c r="B47" s="6" t="inlineStr">
        <is>
          <t>Starter</t>
        </is>
      </c>
      <c r="C47" s="6" t="inlineStr">
        <is>
          <t>1-10</t>
        </is>
      </c>
      <c r="D47" s="12" t="n">
        <v>50.53</v>
      </c>
      <c r="E47" s="6" t="n">
        <v>2</v>
      </c>
      <c r="F47" s="6" t="n">
        <v>22</v>
      </c>
      <c r="G47" s="6" t="inlineStr">
        <is>
          <t>Referral</t>
        </is>
      </c>
    </row>
    <row r="48">
      <c r="A48" s="6" t="inlineStr">
        <is>
          <t>CUST-0240</t>
        </is>
      </c>
      <c r="B48" s="6" t="inlineStr">
        <is>
          <t>Starter</t>
        </is>
      </c>
      <c r="C48" s="6" t="inlineStr">
        <is>
          <t>1-10</t>
        </is>
      </c>
      <c r="D48" s="12" t="n">
        <v>35.74</v>
      </c>
      <c r="E48" s="6" t="n">
        <v>2</v>
      </c>
      <c r="F48" s="6" t="n">
        <v>23</v>
      </c>
      <c r="G48" s="6" t="inlineStr">
        <is>
          <t>Social Media</t>
        </is>
      </c>
    </row>
    <row r="49">
      <c r="A49" s="6" t="inlineStr">
        <is>
          <t>CUST-0360</t>
        </is>
      </c>
      <c r="B49" s="6" t="inlineStr">
        <is>
          <t>Starter</t>
        </is>
      </c>
      <c r="C49" s="6" t="inlineStr">
        <is>
          <t>1-10</t>
        </is>
      </c>
      <c r="D49" s="12" t="n">
        <v>28.35</v>
      </c>
      <c r="E49" s="6" t="n">
        <v>6</v>
      </c>
      <c r="F49" s="6" t="n">
        <v>20</v>
      </c>
      <c r="G49" s="6" t="inlineStr">
        <is>
          <t>Social Media</t>
        </is>
      </c>
    </row>
  </sheetData>
  <mergeCells count="1"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2026-08-26T08:58:34Z</dcterms:created>
  <dcterms:modified xsi:type="dcterms:W3CDTF">2026-08-26T08:59:48Z</dcterms:modified>
</cp:coreProperties>
</file>